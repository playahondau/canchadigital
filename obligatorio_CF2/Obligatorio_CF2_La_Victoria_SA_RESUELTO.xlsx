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2" autoFilterDateGrouping="1"/>
  </bookViews>
  <sheets>
    <sheet xmlns:r="http://schemas.openxmlformats.org/officeDocument/2006/relationships" name="ESF Y ER 2025 LETRA" sheetId="1" state="visible" r:id="rId1"/>
    <sheet xmlns:r="http://schemas.openxmlformats.org/officeDocument/2006/relationships" name="ECP 2025" sheetId="2" state="visible" r:id="rId2"/>
    <sheet xmlns:r="http://schemas.openxmlformats.org/officeDocument/2006/relationships" name="EFE 2025" sheetId="3" state="visible" r:id="rId3"/>
    <sheet xmlns:r="http://schemas.openxmlformats.org/officeDocument/2006/relationships" name="PT a Caja y DC" sheetId="4" state="visible" r:id="rId4"/>
    <sheet xmlns:r="http://schemas.openxmlformats.org/officeDocument/2006/relationships" name="PT b Banco" sheetId="5" state="visible" r:id="rId5"/>
    <sheet xmlns:r="http://schemas.openxmlformats.org/officeDocument/2006/relationships" name="PT c Stock" sheetId="6" state="visible" r:id="rId6"/>
    <sheet xmlns:r="http://schemas.openxmlformats.org/officeDocument/2006/relationships" name="PT d Prestamos" sheetId="7" state="visible" r:id="rId7"/>
    <sheet xmlns:r="http://schemas.openxmlformats.org/officeDocument/2006/relationships" name="PT e PPE" sheetId="8" state="visible" r:id="rId8"/>
    <sheet xmlns:r="http://schemas.openxmlformats.org/officeDocument/2006/relationships" name="PT f Seguros" sheetId="9" state="visible" r:id="rId9"/>
    <sheet xmlns:r="http://schemas.openxmlformats.org/officeDocument/2006/relationships" name="PT g Patrimonio" sheetId="10" state="visible" r:id="rId10"/>
    <sheet xmlns:r="http://schemas.openxmlformats.org/officeDocument/2006/relationships" name="Asientos" sheetId="11" state="visible" r:id="rId11"/>
    <sheet xmlns:r="http://schemas.openxmlformats.org/officeDocument/2006/relationships" name="Pedido 3 Indicador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_-;\-* #,##0_-;_-* &quot;-&quot;??_-;_-@_-"/>
    <numFmt numFmtId="165" formatCode="_-* #,##0.00_-;\-* #,##0.00_-;_-* &quot;-&quot;??_-;_-@_-"/>
    <numFmt numFmtId="166" formatCode="_-* #,##0.00\ &quot;€&quot;_-;\-* #,##0.00\ &quot;€&quot;_-;_-* &quot;-&quot;??\ &quot;€&quot;_-;_-@_-"/>
    <numFmt numFmtId="167" formatCode="_-* #,##0_-;\-* #,##0_-;_-* &quot;-&quot;_-;_-@_-"/>
    <numFmt numFmtId="168" formatCode="_-* #,##0\ &quot;€&quot;_-;\-* #,##0\ &quot;€&quot;_-;_-* &quot;-&quot;\ &quot;€&quot;_-;_-@_-"/>
    <numFmt numFmtId="169" formatCode="#,##0;[Red]-#,##0;&quot;-&quot;"/>
    <numFmt numFmtId="170" formatCode="0.000"/>
    <numFmt numFmtId="171" formatCode="0.0%"/>
  </numFmts>
  <fonts count="39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Calibri"/>
      <charset val="134"/>
      <b val="1"/>
      <sz val="12"/>
      <scheme val="minor"/>
    </font>
    <font>
      <name val="Calibri"/>
      <charset val="134"/>
      <sz val="12"/>
      <scheme val="minor"/>
    </font>
    <font>
      <name val="Book Antiqua"/>
      <charset val="134"/>
      <b val="1"/>
      <color indexed="8"/>
      <sz val="10"/>
    </font>
    <font>
      <name val="Book Antiqua"/>
      <charset val="134"/>
      <color theme="1"/>
      <sz val="10"/>
    </font>
    <font>
      <name val="Book Antiqua"/>
      <charset val="134"/>
      <b val="1"/>
      <sz val="10"/>
    </font>
    <font>
      <name val="Book Antiqua"/>
      <charset val="134"/>
      <sz val="10"/>
    </font>
    <font>
      <name val="Calibri"/>
      <charset val="134"/>
      <sz val="11"/>
      <scheme val="minor"/>
    </font>
    <font>
      <name val="Arial"/>
      <charset val="134"/>
      <b val="1"/>
      <i val="1"/>
      <color theme="1"/>
      <sz val="11"/>
      <u val="double"/>
    </font>
    <font>
      <name val="Arial"/>
      <charset val="134"/>
      <color theme="1"/>
      <sz val="11"/>
    </font>
    <font>
      <name val="Arial"/>
      <charset val="134"/>
      <color rgb="FF000000"/>
      <sz val="11"/>
    </font>
    <font>
      <name val="Arial"/>
      <charset val="134"/>
      <b val="1"/>
      <color rgb="FF000000"/>
      <sz val="11"/>
    </font>
    <font>
      <name val="Calibri"/>
      <charset val="134"/>
      <color rgb="FF000000"/>
      <sz val="11"/>
    </font>
    <font>
      <name val="Arial"/>
      <charset val="134"/>
      <b val="1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b val="1"/>
    </font>
    <font>
      <b val="1"/>
      <sz val="13"/>
    </font>
    <font>
      <i val="1"/>
      <color rgb="00555555"/>
    </font>
  </fonts>
  <fills count="41">
    <fill>
      <patternFill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darkDown">
        <fgColor rgb="FF000000"/>
      </patternFill>
    </fill>
    <fill>
      <patternFill patternType="solid">
        <fgColor rgb="FFF2F2F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top style="thin"/>
    </border>
  </borders>
  <cellStyleXfs count="51">
    <xf numFmtId="0" fontId="15" fillId="0" borderId="0"/>
    <xf numFmtId="165" fontId="15" fillId="0" borderId="0"/>
    <xf numFmtId="166" fontId="15" fillId="0" borderId="0" applyAlignment="1">
      <alignment vertical="center"/>
    </xf>
    <xf numFmtId="9" fontId="15" fillId="0" borderId="0"/>
    <xf numFmtId="167" fontId="15" fillId="0" borderId="0" applyAlignment="1">
      <alignment vertical="center"/>
    </xf>
    <xf numFmtId="168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8" borderId="22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23" applyAlignment="1">
      <alignment vertical="center"/>
    </xf>
    <xf numFmtId="0" fontId="22" fillId="0" borderId="23" applyAlignment="1">
      <alignment vertical="center"/>
    </xf>
    <xf numFmtId="0" fontId="23" fillId="0" borderId="24" applyAlignment="1">
      <alignment vertical="center"/>
    </xf>
    <xf numFmtId="0" fontId="23" fillId="0" borderId="0" applyAlignment="1">
      <alignment vertical="center"/>
    </xf>
    <xf numFmtId="0" fontId="24" fillId="9" borderId="25" applyAlignment="1">
      <alignment vertical="center"/>
    </xf>
    <xf numFmtId="0" fontId="25" fillId="10" borderId="26" applyAlignment="1">
      <alignment vertical="center"/>
    </xf>
    <xf numFmtId="0" fontId="26" fillId="10" borderId="25" applyAlignment="1">
      <alignment vertical="center"/>
    </xf>
    <xf numFmtId="0" fontId="27" fillId="11" borderId="27" applyAlignment="1">
      <alignment vertical="center"/>
    </xf>
    <xf numFmtId="0" fontId="28" fillId="0" borderId="28" applyAlignment="1">
      <alignment vertical="center"/>
    </xf>
    <xf numFmtId="0" fontId="29" fillId="0" borderId="29" applyAlignment="1">
      <alignment vertical="center"/>
    </xf>
    <xf numFmtId="0" fontId="30" fillId="12" borderId="0"/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3" fillId="15" borderId="0" applyAlignment="1">
      <alignment vertical="center"/>
    </xf>
    <xf numFmtId="0" fontId="34" fillId="16" borderId="0" applyAlignment="1">
      <alignment vertical="center"/>
    </xf>
    <xf numFmtId="0" fontId="34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4" fillId="20" borderId="0" applyAlignment="1">
      <alignment vertical="center"/>
    </xf>
    <xf numFmtId="0" fontId="34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4" fillId="24" borderId="0" applyAlignment="1">
      <alignment vertical="center"/>
    </xf>
    <xf numFmtId="0" fontId="34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4" fillId="36" borderId="0" applyAlignment="1">
      <alignment vertical="center"/>
    </xf>
    <xf numFmtId="0" fontId="34" fillId="37" borderId="0" applyAlignment="1">
      <alignment vertical="center"/>
    </xf>
    <xf numFmtId="0" fontId="33" fillId="38" borderId="0" applyAlignment="1">
      <alignment vertical="center"/>
    </xf>
    <xf numFmtId="165" fontId="15" fillId="0" borderId="0"/>
    <xf numFmtId="0" fontId="35" fillId="0" borderId="0"/>
  </cellStyleXfs>
  <cellXfs count="14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50">
      <alignment horizontal="center"/>
    </xf>
    <xf numFmtId="0" fontId="2" fillId="2" borderId="2" applyAlignment="1" pivotButton="0" quotePrefix="0" xfId="50">
      <alignment horizontal="center"/>
    </xf>
    <xf numFmtId="0" fontId="2" fillId="2" borderId="3" applyAlignment="1" pivotButton="0" quotePrefix="0" xfId="50">
      <alignment horizontal="center"/>
    </xf>
    <xf numFmtId="0" fontId="3" fillId="0" borderId="0" pivotButton="0" quotePrefix="0" xfId="50"/>
    <xf numFmtId="0" fontId="2" fillId="0" borderId="0" pivotButton="0" quotePrefix="0" xfId="50"/>
    <xf numFmtId="3" fontId="3" fillId="0" borderId="0" pivotButton="0" quotePrefix="0" xfId="50"/>
    <xf numFmtId="0" fontId="3" fillId="0" borderId="4" pivotButton="0" quotePrefix="0" xfId="50"/>
    <xf numFmtId="164" fontId="3" fillId="0" borderId="0" pivotButton="0" quotePrefix="0" xfId="1"/>
    <xf numFmtId="164" fontId="2" fillId="2" borderId="0" pivotButton="0" quotePrefix="0" xfId="1"/>
    <xf numFmtId="0" fontId="3" fillId="0" borderId="5" pivotButton="0" quotePrefix="0" xfId="50"/>
    <xf numFmtId="164" fontId="2" fillId="2" borderId="4" pivotButton="0" quotePrefix="0" xfId="1"/>
    <xf numFmtId="164" fontId="1" fillId="0" borderId="0" pivotButton="0" quotePrefix="0" xfId="0"/>
    <xf numFmtId="164" fontId="0" fillId="0" borderId="0" pivotButton="0" quotePrefix="0" xfId="0"/>
    <xf numFmtId="164" fontId="3" fillId="0" borderId="6" pivotButton="0" quotePrefix="0" xfId="1"/>
    <xf numFmtId="164" fontId="1" fillId="0" borderId="0" pivotButton="0" quotePrefix="0" xfId="1"/>
    <xf numFmtId="164" fontId="3" fillId="0" borderId="0" pivotButton="0" quotePrefix="0" xfId="50"/>
    <xf numFmtId="0" fontId="4" fillId="3" borderId="7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3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0" borderId="13" applyAlignment="1" pivotButton="0" quotePrefix="0" xfId="0">
      <alignment horizontal="center" vertical="top" wrapText="1"/>
    </xf>
    <xf numFmtId="0" fontId="6" fillId="0" borderId="14" applyAlignment="1" pivotButton="0" quotePrefix="0" xfId="0">
      <alignment horizontal="center" vertical="top" wrapText="1"/>
    </xf>
    <xf numFmtId="0" fontId="6" fillId="0" borderId="15" applyAlignment="1" pivotButton="0" quotePrefix="0" xfId="0">
      <alignment horizontal="center" vertical="top" wrapText="1"/>
    </xf>
    <xf numFmtId="0" fontId="6" fillId="0" borderId="16" applyAlignment="1" pivotButton="0" quotePrefix="0" xfId="0">
      <alignment horizontal="center" vertical="top" wrapText="1"/>
    </xf>
    <xf numFmtId="0" fontId="6" fillId="0" borderId="17" applyAlignment="1" pivotButton="0" quotePrefix="0" xfId="0">
      <alignment horizontal="centerContinuous" vertical="top" wrapText="1"/>
    </xf>
    <xf numFmtId="0" fontId="4" fillId="4" borderId="13" applyAlignment="1" pivotButton="0" quotePrefix="0" xfId="0">
      <alignment horizontal="center"/>
    </xf>
    <xf numFmtId="0" fontId="4" fillId="4" borderId="14" applyAlignment="1" pivotButton="0" quotePrefix="0" xfId="0">
      <alignment horizontal="center"/>
    </xf>
    <xf numFmtId="0" fontId="4" fillId="4" borderId="15" applyAlignment="1" pivotButton="0" quotePrefix="0" xfId="0">
      <alignment horizontal="center"/>
    </xf>
    <xf numFmtId="164" fontId="5" fillId="5" borderId="17" pivotButton="0" quotePrefix="0" xfId="1"/>
    <xf numFmtId="0" fontId="7" fillId="4" borderId="18" applyAlignment="1" pivotButton="0" quotePrefix="0" xfId="0">
      <alignment horizontal="left" vertical="top" wrapText="1"/>
    </xf>
    <xf numFmtId="0" fontId="7" fillId="4" borderId="19" applyAlignment="1" pivotButton="0" quotePrefix="0" xfId="0">
      <alignment horizontal="left" vertical="top" wrapText="1"/>
    </xf>
    <xf numFmtId="0" fontId="7" fillId="4" borderId="14" applyAlignment="1" pivotButton="0" quotePrefix="0" xfId="0">
      <alignment horizontal="left" vertical="top" wrapText="1"/>
    </xf>
    <xf numFmtId="0" fontId="7" fillId="4" borderId="15" applyAlignment="1" pivotButton="0" quotePrefix="0" xfId="0">
      <alignment horizontal="left" vertical="top" wrapText="1"/>
    </xf>
    <xf numFmtId="0" fontId="6" fillId="4" borderId="18" applyAlignment="1" pivotButton="0" quotePrefix="0" xfId="0">
      <alignment horizontal="left" vertical="top" wrapText="1"/>
    </xf>
    <xf numFmtId="0" fontId="6" fillId="4" borderId="16" applyAlignment="1" pivotButton="0" quotePrefix="0" xfId="0">
      <alignment horizontal="left" vertical="top" wrapText="1"/>
    </xf>
    <xf numFmtId="0" fontId="6" fillId="4" borderId="14" applyAlignment="1" pivotButton="0" quotePrefix="0" xfId="0">
      <alignment horizontal="left" vertical="top" wrapText="1"/>
    </xf>
    <xf numFmtId="0" fontId="6" fillId="4" borderId="15" applyAlignment="1" pivotButton="0" quotePrefix="0" xfId="0">
      <alignment horizontal="left" vertical="top" wrapText="1"/>
    </xf>
    <xf numFmtId="164" fontId="4" fillId="0" borderId="18" pivotButton="0" quotePrefix="0" xfId="1"/>
    <xf numFmtId="0" fontId="6" fillId="4" borderId="19" applyAlignment="1" pivotButton="0" quotePrefix="0" xfId="0">
      <alignment horizontal="left" vertical="top" wrapText="1"/>
    </xf>
    <xf numFmtId="164" fontId="5" fillId="5" borderId="20" pivotButton="0" quotePrefix="0" xfId="1"/>
    <xf numFmtId="0" fontId="7" fillId="4" borderId="16" applyAlignment="1" pivotButton="0" quotePrefix="0" xfId="0">
      <alignment horizontal="left" vertical="top" wrapText="1"/>
    </xf>
    <xf numFmtId="164" fontId="5" fillId="0" borderId="20" applyProtection="1" pivotButton="0" quotePrefix="0" xfId="1">
      <protection locked="0" hidden="0"/>
    </xf>
    <xf numFmtId="164" fontId="5" fillId="0" borderId="19" applyProtection="1" pivotButton="0" quotePrefix="0" xfId="1">
      <protection locked="0" hidden="0"/>
    </xf>
    <xf numFmtId="164" fontId="5" fillId="0" borderId="20" pivotButton="0" quotePrefix="0" xfId="1"/>
    <xf numFmtId="164" fontId="5" fillId="6" borderId="16" applyProtection="1" pivotButton="0" quotePrefix="0" xfId="1">
      <protection locked="0" hidden="0"/>
    </xf>
    <xf numFmtId="164" fontId="5" fillId="6" borderId="21" applyProtection="1" pivotButton="0" quotePrefix="0" xfId="1">
      <protection locked="0" hidden="0"/>
    </xf>
    <xf numFmtId="164" fontId="5" fillId="7" borderId="16" pivotButton="0" quotePrefix="0" xfId="1"/>
    <xf numFmtId="0" fontId="7" fillId="4" borderId="17" applyAlignment="1" pivotButton="0" quotePrefix="0" xfId="0">
      <alignment horizontal="left" vertical="top" wrapText="1"/>
    </xf>
    <xf numFmtId="164" fontId="5" fillId="0" borderId="18" applyProtection="1" pivotButton="0" quotePrefix="0" xfId="1">
      <protection locked="0" hidden="0"/>
    </xf>
    <xf numFmtId="164" fontId="5" fillId="6" borderId="18" applyProtection="1" pivotButton="0" quotePrefix="0" xfId="1">
      <protection locked="0" hidden="0"/>
    </xf>
    <xf numFmtId="164" fontId="5" fillId="6" borderId="18" pivotButton="0" quotePrefix="0" xfId="1"/>
    <xf numFmtId="164" fontId="5" fillId="0" borderId="18" pivotButton="0" quotePrefix="0" xfId="1"/>
    <xf numFmtId="0" fontId="8" fillId="0" borderId="16" applyAlignment="1" pivotButton="0" quotePrefix="0" xfId="22">
      <alignment horizontal="left" vertical="top" wrapText="1"/>
    </xf>
    <xf numFmtId="0" fontId="8" fillId="0" borderId="15" applyAlignment="1" pivotButton="0" quotePrefix="0" xfId="22">
      <alignment horizontal="left" vertical="top" wrapText="1"/>
    </xf>
    <xf numFmtId="164" fontId="5" fillId="6" borderId="16" pivotButton="0" quotePrefix="0" xfId="1"/>
    <xf numFmtId="164" fontId="4" fillId="6" borderId="16" pivotButton="0" quotePrefix="0" xfId="1"/>
    <xf numFmtId="0" fontId="9" fillId="0" borderId="0" applyAlignment="1" pivotButton="0" quotePrefix="0" xfId="0">
      <alignment horizontal="justify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17" pivotButton="0" quotePrefix="0" xfId="0"/>
    <xf numFmtId="58" fontId="12" fillId="0" borderId="17" applyAlignment="1" pivotButton="0" quotePrefix="0" xfId="0">
      <alignment horizontal="center"/>
    </xf>
    <xf numFmtId="0" fontId="12" fillId="0" borderId="17" applyAlignment="1" pivotButton="0" quotePrefix="0" xfId="0">
      <alignment horizontal="center"/>
    </xf>
    <xf numFmtId="164" fontId="11" fillId="0" borderId="17" applyAlignment="1" pivotButton="0" quotePrefix="0" xfId="1">
      <alignment horizontal="center" vertical="center"/>
    </xf>
    <xf numFmtId="0" fontId="11" fillId="0" borderId="17" pivotButton="0" quotePrefix="0" xfId="0"/>
    <xf numFmtId="165" fontId="0" fillId="0" borderId="0" pivotButton="0" quotePrefix="0" xfId="0"/>
    <xf numFmtId="164" fontId="12" fillId="0" borderId="17" applyAlignment="1" pivotButton="0" quotePrefix="0" xfId="1">
      <alignment horizontal="center" vertical="center"/>
    </xf>
    <xf numFmtId="164" fontId="10" fillId="0" borderId="0" pivotButton="0" quotePrefix="0" xfId="0"/>
    <xf numFmtId="164" fontId="0" fillId="0" borderId="0" applyAlignment="1" pivotButton="0" quotePrefix="0" xfId="0">
      <alignment horizontal="left"/>
    </xf>
    <xf numFmtId="9" fontId="0" fillId="0" borderId="0" pivotButton="0" quotePrefix="0" xfId="3"/>
    <xf numFmtId="0" fontId="12" fillId="0" borderId="0" pivotButton="0" quotePrefix="0" xfId="0"/>
    <xf numFmtId="164" fontId="11" fillId="0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center" vertical="center"/>
    </xf>
    <xf numFmtId="0" fontId="13" fillId="0" borderId="17" pivotButton="0" quotePrefix="0" xfId="0"/>
    <xf numFmtId="164" fontId="13" fillId="0" borderId="17" applyAlignment="1" pivotButton="0" quotePrefix="0" xfId="1">
      <alignment horizontal="center" vertical="center"/>
    </xf>
    <xf numFmtId="0" fontId="14" fillId="0" borderId="13" applyAlignment="1" pivotButton="0" quotePrefix="0" xfId="0">
      <alignment vertical="center"/>
    </xf>
    <xf numFmtId="164" fontId="10" fillId="0" borderId="15" applyAlignment="1" pivotButton="0" quotePrefix="0" xfId="49">
      <alignment horizontal="center"/>
    </xf>
    <xf numFmtId="164" fontId="0" fillId="0" borderId="0" pivotButton="0" quotePrefix="0" xfId="1"/>
    <xf numFmtId="164" fontId="11" fillId="0" borderId="17" applyAlignment="1" pivotButton="0" quotePrefix="0" xfId="1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12" fillId="0" borderId="17" applyAlignment="1" pivotButton="0" quotePrefix="0" xfId="1">
      <alignment horizontal="center" vertical="center"/>
    </xf>
    <xf numFmtId="164" fontId="10" fillId="0" borderId="0" pivotButton="0" quotePrefix="0" xfId="0"/>
    <xf numFmtId="164" fontId="0" fillId="0" borderId="0" applyAlignment="1" pivotButton="0" quotePrefix="0" xfId="0">
      <alignment horizontal="left"/>
    </xf>
    <xf numFmtId="164" fontId="11" fillId="0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13" fillId="0" borderId="17" applyAlignment="1" pivotButton="0" quotePrefix="0" xfId="1">
      <alignment horizontal="center" vertical="center"/>
    </xf>
    <xf numFmtId="164" fontId="10" fillId="0" borderId="15" applyAlignment="1" pivotButton="0" quotePrefix="0" xfId="49">
      <alignment horizontal="center"/>
    </xf>
    <xf numFmtId="164" fontId="0" fillId="0" borderId="0" pivotButton="0" quotePrefix="0" xfId="1"/>
    <xf numFmtId="0" fontId="4" fillId="3" borderId="3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6" fillId="0" borderId="17" applyAlignment="1" pivotButton="0" quotePrefix="0" xfId="0">
      <alignment horizontal="center" vertical="top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17" applyAlignment="1" pivotButton="0" quotePrefix="0" xfId="0">
      <alignment horizontal="center"/>
    </xf>
    <xf numFmtId="164" fontId="5" fillId="5" borderId="17" pivotButton="0" quotePrefix="0" xfId="1"/>
    <xf numFmtId="0" fontId="0" fillId="0" borderId="4" pivotButton="0" quotePrefix="0" xfId="0"/>
    <xf numFmtId="0" fontId="0" fillId="0" borderId="32" pivotButton="0" quotePrefix="0" xfId="0"/>
    <xf numFmtId="164" fontId="4" fillId="0" borderId="18" pivotButton="0" quotePrefix="0" xfId="1"/>
    <xf numFmtId="0" fontId="6" fillId="4" borderId="17" applyAlignment="1" pivotButton="0" quotePrefix="0" xfId="0">
      <alignment horizontal="left" vertical="top" wrapText="1"/>
    </xf>
    <xf numFmtId="164" fontId="5" fillId="5" borderId="20" pivotButton="0" quotePrefix="0" xfId="1"/>
    <xf numFmtId="164" fontId="5" fillId="0" borderId="20" applyProtection="1" pivotButton="0" quotePrefix="0" xfId="1">
      <protection locked="0" hidden="0"/>
    </xf>
    <xf numFmtId="164" fontId="5" fillId="0" borderId="19" applyProtection="1" pivotButton="0" quotePrefix="0" xfId="1">
      <protection locked="0" hidden="0"/>
    </xf>
    <xf numFmtId="164" fontId="5" fillId="0" borderId="20" pivotButton="0" quotePrefix="0" xfId="1"/>
    <xf numFmtId="164" fontId="5" fillId="6" borderId="16" applyProtection="1" pivotButton="0" quotePrefix="0" xfId="1">
      <protection locked="0" hidden="0"/>
    </xf>
    <xf numFmtId="164" fontId="5" fillId="6" borderId="21" applyProtection="1" pivotButton="0" quotePrefix="0" xfId="1">
      <protection locked="0" hidden="0"/>
    </xf>
    <xf numFmtId="164" fontId="5" fillId="7" borderId="16" pivotButton="0" quotePrefix="0" xfId="1"/>
    <xf numFmtId="164" fontId="5" fillId="0" borderId="18" applyProtection="1" pivotButton="0" quotePrefix="0" xfId="1">
      <protection locked="0" hidden="0"/>
    </xf>
    <xf numFmtId="164" fontId="5" fillId="6" borderId="18" applyProtection="1" pivotButton="0" quotePrefix="0" xfId="1">
      <protection locked="0" hidden="0"/>
    </xf>
    <xf numFmtId="164" fontId="5" fillId="6" borderId="18" pivotButton="0" quotePrefix="0" xfId="1"/>
    <xf numFmtId="164" fontId="5" fillId="0" borderId="18" pivotButton="0" quotePrefix="0" xfId="1"/>
    <xf numFmtId="164" fontId="5" fillId="6" borderId="16" pivotButton="0" quotePrefix="0" xfId="1"/>
    <xf numFmtId="164" fontId="4" fillId="6" borderId="16" pivotButton="0" quotePrefix="0" xfId="1"/>
    <xf numFmtId="0" fontId="2" fillId="2" borderId="33" applyAlignment="1" pivotButton="0" quotePrefix="0" xfId="50">
      <alignment horizontal="center"/>
    </xf>
    <xf numFmtId="0" fontId="0" fillId="0" borderId="2" pivotButton="0" quotePrefix="0" xfId="0"/>
    <xf numFmtId="0" fontId="0" fillId="0" borderId="3" pivotButton="0" quotePrefix="0" xfId="0"/>
    <xf numFmtId="169" fontId="3" fillId="0" borderId="0" pivotButton="0" quotePrefix="0" xfId="50"/>
    <xf numFmtId="164" fontId="3" fillId="0" borderId="0" pivotButton="0" quotePrefix="0" xfId="1"/>
    <xf numFmtId="164" fontId="2" fillId="2" borderId="0" pivotButton="0" quotePrefix="0" xfId="1"/>
    <xf numFmtId="164" fontId="2" fillId="2" borderId="4" pivotButton="0" quotePrefix="0" xfId="1"/>
    <xf numFmtId="169" fontId="3" fillId="0" borderId="0" pivotButton="0" quotePrefix="0" xfId="1"/>
    <xf numFmtId="164" fontId="1" fillId="0" borderId="0" pivotButton="0" quotePrefix="0" xfId="0"/>
    <xf numFmtId="169" fontId="3" fillId="0" borderId="6" pivotButton="0" quotePrefix="0" xfId="1"/>
    <xf numFmtId="164" fontId="1" fillId="0" borderId="0" pivotButton="0" quotePrefix="0" xfId="1"/>
    <xf numFmtId="164" fontId="3" fillId="0" borderId="0" pivotButton="0" quotePrefix="0" xfId="50"/>
    <xf numFmtId="0" fontId="37" fillId="0" borderId="0" pivotButton="0" quotePrefix="0" xfId="0"/>
    <xf numFmtId="0" fontId="38" fillId="0" borderId="0" pivotButton="0" quotePrefix="0" xfId="0"/>
    <xf numFmtId="0" fontId="36" fillId="0" borderId="0" pivotButton="0" quotePrefix="0" xfId="0"/>
    <xf numFmtId="169" fontId="0" fillId="0" borderId="0" pivotButton="0" quotePrefix="0" xfId="0"/>
    <xf numFmtId="169" fontId="36" fillId="0" borderId="36" pivotButton="0" quotePrefix="0" xfId="0"/>
    <xf numFmtId="169" fontId="36" fillId="39" borderId="0" pivotButton="0" quotePrefix="0" xfId="0"/>
    <xf numFmtId="170" fontId="0" fillId="0" borderId="0" pivotButton="0" quotePrefix="0" xfId="0"/>
    <xf numFmtId="169" fontId="36" fillId="39" borderId="36" pivotButton="0" quotePrefix="0" xfId="0"/>
    <xf numFmtId="169" fontId="36" fillId="0" borderId="0" pivotButton="0" quotePrefix="0" xfId="0"/>
    <xf numFmtId="0" fontId="36" fillId="40" borderId="0" pivotButton="0" quotePrefix="0" xfId="0"/>
    <xf numFmtId="2" fontId="0" fillId="0" borderId="0" pivotButton="0" quotePrefix="0" xfId="0"/>
    <xf numFmtId="171" fontId="0" fillId="0" borderId="0" pivotButton="0" quotePrefix="0" xfId="0"/>
    <xf numFmtId="1" fontId="0" fillId="0" borderId="0" pivotButton="0" quotePrefix="0" xfId="0"/>
  </cellXfs>
  <cellStyles count="51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Millares 2" xfId="49"/>
    <cellStyle name="Normal 2" xfId="5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H59"/>
  <sheetViews>
    <sheetView showGridLines="0" topLeftCell="A29" workbookViewId="0">
      <selection activeCell="C16" sqref="C16"/>
    </sheetView>
  </sheetViews>
  <sheetFormatPr baseColWidth="8" defaultColWidth="11.4259259259259" defaultRowHeight="14.4"/>
  <cols>
    <col width="35.712962962963" customWidth="1" min="2" max="2"/>
    <col width="21.287037037037" customWidth="1" min="3" max="3"/>
    <col width="12.712962962963" customWidth="1" min="4" max="4"/>
    <col width="21.5740740740741" customWidth="1" min="5" max="5"/>
    <col width="11.5740740740741" customWidth="1" min="6" max="7"/>
  </cols>
  <sheetData>
    <row r="1">
      <c r="B1" s="62" t="inlineStr">
        <is>
          <t>Anexo II: ESTADOS FINANCIEROS</t>
        </is>
      </c>
    </row>
    <row r="2">
      <c r="B2" s="63" t="inlineStr">
        <is>
          <t xml:space="preserve"> </t>
        </is>
      </c>
    </row>
    <row r="3">
      <c r="B3" s="64" t="n"/>
      <c r="C3" s="65" t="inlineStr">
        <is>
          <t>Histórico</t>
        </is>
      </c>
      <c r="D3" s="65" t="inlineStr">
        <is>
          <t>Histórico</t>
        </is>
      </c>
    </row>
    <row r="4">
      <c r="B4" s="66" t="inlineStr">
        <is>
          <t>ESTADO DE SITUACION FINANCIERA</t>
        </is>
      </c>
      <c r="C4" s="67" t="n">
        <v>46022</v>
      </c>
      <c r="D4" s="67" t="n">
        <v>45657</v>
      </c>
    </row>
    <row r="5">
      <c r="B5" s="66" t="n"/>
      <c r="C5" s="68" t="inlineStr">
        <is>
          <t>$</t>
        </is>
      </c>
      <c r="D5" s="68" t="inlineStr">
        <is>
          <t>$</t>
        </is>
      </c>
    </row>
    <row r="6">
      <c r="B6" s="66" t="inlineStr">
        <is>
          <t>Activo</t>
        </is>
      </c>
      <c r="C6" s="84" t="n"/>
      <c r="D6" s="84" t="n"/>
      <c r="E6" s="85" t="n"/>
    </row>
    <row r="7">
      <c r="B7" s="70" t="inlineStr">
        <is>
          <t>Caja m/n</t>
        </is>
      </c>
      <c r="C7" s="84">
        <f>'PT a Caja y DC'!B26</f>
        <v/>
      </c>
      <c r="D7" s="84" t="n">
        <v>50000</v>
      </c>
      <c r="E7" s="85" t="n"/>
    </row>
    <row r="8">
      <c r="B8" s="70" t="inlineStr">
        <is>
          <t>Banco</t>
        </is>
      </c>
      <c r="C8" s="84">
        <f>'PT b Banco'!B17</f>
        <v/>
      </c>
      <c r="D8" s="84" t="n">
        <v>100000</v>
      </c>
      <c r="E8" s="85" t="n"/>
    </row>
    <row r="9">
      <c r="B9" s="70" t="inlineStr">
        <is>
          <t>Cheques dif a cobrar</t>
        </is>
      </c>
      <c r="C9" s="84">
        <f>'PT a Caja y DC'!B27</f>
        <v/>
      </c>
      <c r="D9" s="84" t="n">
        <v>0</v>
      </c>
      <c r="E9" s="85" t="n"/>
      <c r="F9" s="85" t="n"/>
    </row>
    <row r="10">
      <c r="B10" s="70" t="inlineStr">
        <is>
          <t>Ds x ventas</t>
        </is>
      </c>
      <c r="C10" s="84" t="n">
        <v>4347960</v>
      </c>
      <c r="D10" s="84" t="n">
        <v>3287000</v>
      </c>
      <c r="E10" s="85" t="n"/>
      <c r="F10" s="85" t="n"/>
    </row>
    <row r="11">
      <c r="B11" s="70" t="inlineStr">
        <is>
          <t>Seguros pagos x adel</t>
        </is>
      </c>
      <c r="C11" s="84">
        <f>'PT f Seguros'!B10</f>
        <v/>
      </c>
      <c r="D11" s="84" t="n">
        <v>0</v>
      </c>
      <c r="E11" s="85" t="n"/>
      <c r="F11" s="85" t="n"/>
    </row>
    <row r="12">
      <c r="B12" s="70" t="inlineStr">
        <is>
          <t>Inventarios</t>
        </is>
      </c>
      <c r="C12" s="84">
        <f>'PT c Stock'!I21</f>
        <v/>
      </c>
      <c r="D12" s="84">
        <f>'PT c Stock'!I22</f>
        <v/>
      </c>
      <c r="E12" s="85" t="n"/>
    </row>
    <row r="13">
      <c r="B13" s="70" t="inlineStr">
        <is>
          <t>PPE</t>
        </is>
      </c>
      <c r="C13" s="84">
        <f>'PT e PPE'!C21</f>
        <v/>
      </c>
      <c r="D13" s="84">
        <f>'PT e PPE'!B21</f>
        <v/>
      </c>
      <c r="E13" s="85" t="n"/>
    </row>
    <row r="14">
      <c r="B14" s="70" t="inlineStr">
        <is>
          <t>Amort. Acumuladas</t>
        </is>
      </c>
      <c r="C14" s="84">
        <f>'PT e PPE'!C22</f>
        <v/>
      </c>
      <c r="D14" s="84">
        <f>'PT e PPE'!B22</f>
        <v/>
      </c>
      <c r="E14" s="85" t="inlineStr">
        <is>
          <t>Regularizadora (se expone en negativo)</t>
        </is>
      </c>
    </row>
    <row r="15">
      <c r="B15" s="70" t="inlineStr">
        <is>
          <t>Cuenta directores</t>
        </is>
      </c>
      <c r="C15" s="84">
        <f>MAX(0,SUM(C19:C26)+C36-SUM(C7:C14))</f>
        <v/>
      </c>
      <c r="D15" s="84">
        <f>MAX(0,SUM(D19:D26)+D36-SUM(D7:D14))</f>
        <v/>
      </c>
      <c r="E15" t="inlineStr">
        <is>
          <t>Por diferencia (saldo deudor: directores deben a la empresa)</t>
        </is>
      </c>
      <c r="G15" s="86" t="n"/>
    </row>
    <row r="16">
      <c r="B16" s="66" t="inlineStr">
        <is>
          <t>Total Activo</t>
        </is>
      </c>
      <c r="C16" s="87">
        <f>SUM(C7:C15)</f>
        <v/>
      </c>
      <c r="D16" s="87">
        <f>SUM(D7:D15)</f>
        <v/>
      </c>
    </row>
    <row r="17">
      <c r="B17" s="66" t="n"/>
      <c r="C17" s="87" t="n"/>
      <c r="D17" s="84" t="n"/>
    </row>
    <row r="18">
      <c r="B18" s="66" t="inlineStr">
        <is>
          <t>Pasivo</t>
        </is>
      </c>
      <c r="C18" s="84" t="n"/>
      <c r="D18" s="84" t="n"/>
      <c r="E18" s="85" t="n"/>
      <c r="F18" s="85" t="n"/>
    </row>
    <row r="19">
      <c r="B19" s="70" t="inlineStr">
        <is>
          <t>Ac x compra locales</t>
        </is>
      </c>
      <c r="C19" s="84" t="n">
        <v>270000</v>
      </c>
      <c r="D19" s="84" t="n">
        <v>1710000</v>
      </c>
      <c r="E19" s="85" t="n"/>
    </row>
    <row r="20">
      <c r="B20" s="70" t="inlineStr">
        <is>
          <t>Seguros a pagar</t>
        </is>
      </c>
      <c r="C20" s="84">
        <f>'PT f Seguros'!B5</f>
        <v/>
      </c>
      <c r="D20" s="84" t="n">
        <v>0</v>
      </c>
      <c r="E20" s="85" t="n"/>
    </row>
    <row r="21">
      <c r="B21" s="70" t="inlineStr">
        <is>
          <t>Seguros perd a vencer</t>
        </is>
      </c>
      <c r="C21" s="84">
        <f>'PT f Seguros'!B11</f>
        <v/>
      </c>
      <c r="D21" s="84" t="n">
        <v>0</v>
      </c>
      <c r="E21" s="85" t="inlineStr">
        <is>
          <t>Regularizadora (negativa)</t>
        </is>
      </c>
    </row>
    <row r="22">
      <c r="B22" s="70" t="inlineStr">
        <is>
          <t>Ptamos a pagar</t>
        </is>
      </c>
      <c r="C22" s="84">
        <f>'PT d Prestamos'!C14</f>
        <v/>
      </c>
      <c r="D22" s="84">
        <f>'PT d Prestamos'!B14</f>
        <v/>
      </c>
      <c r="E22" s="85" t="n"/>
    </row>
    <row r="23">
      <c r="B23" s="70" t="inlineStr">
        <is>
          <t>int a pagar</t>
        </is>
      </c>
      <c r="C23" s="84">
        <f>'PT d Prestamos'!C16</f>
        <v/>
      </c>
      <c r="D23" s="84">
        <f>'PT d Prestamos'!B16</f>
        <v/>
      </c>
      <c r="E23" s="85" t="n"/>
    </row>
    <row r="24">
      <c r="B24" s="70" t="inlineStr">
        <is>
          <t>int perd a vcer</t>
        </is>
      </c>
      <c r="C24" s="84">
        <f>'PT d Prestamos'!C17</f>
        <v/>
      </c>
      <c r="D24" s="84">
        <f>'PT d Prestamos'!B17</f>
        <v/>
      </c>
      <c r="E24" s="85" t="inlineStr">
        <is>
          <t>Regularizadora (negativa)</t>
        </is>
      </c>
    </row>
    <row r="25">
      <c r="B25" s="70" t="inlineStr">
        <is>
          <t>Prestamo a largo plazo</t>
        </is>
      </c>
      <c r="C25" s="84">
        <f>'PT d Prestamos'!C15</f>
        <v/>
      </c>
      <c r="D25" s="84" t="n">
        <v>250000</v>
      </c>
      <c r="E25" s="85" t="n"/>
      <c r="F25" s="85" t="n"/>
    </row>
    <row r="26">
      <c r="B26" s="70" t="inlineStr">
        <is>
          <t>Deudas Diversas</t>
        </is>
      </c>
      <c r="C26" s="84" t="n">
        <v>650500</v>
      </c>
      <c r="D26" s="84" t="n">
        <v>500000</v>
      </c>
      <c r="E26" s="85" t="n"/>
      <c r="F26" s="85" t="n"/>
    </row>
    <row r="27">
      <c r="B27" s="70" t="inlineStr">
        <is>
          <t>Cuenta directores</t>
        </is>
      </c>
      <c r="C27" s="84">
        <f>MAX(0,SUM(C7:C14)-SUM(C19:C26)-C36)</f>
        <v/>
      </c>
      <c r="D27" s="84">
        <f>MAX(0,SUM(D7:D14)-SUM(D19:D26)-D36)</f>
        <v/>
      </c>
      <c r="E27" s="85" t="inlineStr">
        <is>
          <t>Por diferencia (0 si el activo excede)</t>
        </is>
      </c>
      <c r="G27" s="88" t="n"/>
    </row>
    <row r="28" ht="17.1" customHeight="1">
      <c r="B28" s="66" t="inlineStr">
        <is>
          <t>Total Pasivo</t>
        </is>
      </c>
      <c r="C28" s="87">
        <f>SUM(C19:C27)</f>
        <v/>
      </c>
      <c r="D28" s="87">
        <f>SUM(D19:D27)</f>
        <v/>
      </c>
      <c r="E28" s="85" t="n"/>
      <c r="G28" s="85" t="n"/>
    </row>
    <row r="29">
      <c r="B29" s="66" t="n"/>
      <c r="C29" s="87" t="n"/>
      <c r="D29" s="84" t="n"/>
      <c r="E29" s="85" t="n"/>
      <c r="G29" s="85" t="n"/>
    </row>
    <row r="30">
      <c r="B30" s="66" t="inlineStr">
        <is>
          <t>Patrimonio</t>
        </is>
      </c>
      <c r="C30" s="84" t="n"/>
      <c r="D30" s="84" t="n"/>
      <c r="E30" s="85" t="n"/>
      <c r="F30" s="85" t="n"/>
    </row>
    <row r="31">
      <c r="B31" s="70" t="inlineStr">
        <is>
          <t>Capital</t>
        </is>
      </c>
      <c r="C31" s="84">
        <f>'PT g Patrimonio'!B13</f>
        <v/>
      </c>
      <c r="D31" s="84" t="n">
        <v>2600000</v>
      </c>
      <c r="E31" s="89" t="n"/>
      <c r="F31" s="85" t="n"/>
    </row>
    <row r="32">
      <c r="B32" s="70" t="inlineStr">
        <is>
          <t>Aportes a Capitalizar</t>
        </is>
      </c>
      <c r="C32" s="84">
        <f>'PT g Patrimonio'!B14</f>
        <v/>
      </c>
      <c r="D32" s="84" t="n">
        <v>400000</v>
      </c>
      <c r="E32" s="85" t="n"/>
      <c r="F32" s="85" t="n"/>
    </row>
    <row r="33">
      <c r="B33" s="70" t="inlineStr">
        <is>
          <t>Reserva legal</t>
        </is>
      </c>
      <c r="C33" s="84">
        <f>D33+'PT g Patrimonio'!B4</f>
        <v/>
      </c>
      <c r="D33" s="84" t="n">
        <v>15000</v>
      </c>
      <c r="E33" s="85" t="n"/>
      <c r="F33" s="85" t="n"/>
    </row>
    <row r="34">
      <c r="B34" s="70" t="inlineStr">
        <is>
          <t>Resultados Acumulados</t>
        </is>
      </c>
      <c r="C34" s="84">
        <f>'PT g Patrimonio'!B7</f>
        <v/>
      </c>
      <c r="D34" s="84" t="n">
        <v>0</v>
      </c>
      <c r="E34" s="75" t="inlineStr">
        <is>
          <t>Remanente no distribuido 30/06/25</t>
        </is>
      </c>
      <c r="F34" s="85" t="n"/>
      <c r="H34" s="85" t="n"/>
    </row>
    <row r="35">
      <c r="B35" s="70" t="inlineStr">
        <is>
          <t>Resultados del Ejercicio</t>
        </is>
      </c>
      <c r="C35" s="84">
        <f>C54</f>
        <v/>
      </c>
      <c r="D35" s="84" t="n">
        <v>800000</v>
      </c>
      <c r="E35" s="85" t="n"/>
      <c r="F35" s="85" t="n"/>
      <c r="G35" s="85" t="n"/>
      <c r="H35" s="85" t="n"/>
    </row>
    <row r="36">
      <c r="B36" s="66" t="inlineStr">
        <is>
          <t>Total Patrimonio</t>
        </is>
      </c>
      <c r="C36" s="87">
        <f>SUM(C31:C35)</f>
        <v/>
      </c>
      <c r="D36" s="87">
        <f>SUM(D31:D35)</f>
        <v/>
      </c>
      <c r="E36" s="85" t="n"/>
      <c r="F36" s="85" t="n"/>
      <c r="H36" s="85" t="n"/>
    </row>
    <row r="37">
      <c r="B37" s="66" t="inlineStr">
        <is>
          <t>Total Pasivo y Patrimonio</t>
        </is>
      </c>
      <c r="C37" s="87">
        <f>C28+C36</f>
        <v/>
      </c>
      <c r="D37" s="87">
        <f>D28+D36</f>
        <v/>
      </c>
    </row>
    <row r="38">
      <c r="B38" s="76" t="n"/>
      <c r="C38" s="90" t="n"/>
      <c r="D38" s="91" t="n"/>
    </row>
    <row r="39">
      <c r="B39" s="76" t="n"/>
      <c r="C39" s="90" t="n"/>
      <c r="D39" s="91" t="n"/>
    </row>
    <row r="40">
      <c r="B40" s="76" t="inlineStr">
        <is>
          <t>ESTADO DE RESULTADOS 2025</t>
        </is>
      </c>
      <c r="C40" s="90" t="n"/>
      <c r="D40" s="91" t="n"/>
    </row>
    <row r="41">
      <c r="B41" s="70" t="inlineStr">
        <is>
          <t>Ventas</t>
        </is>
      </c>
      <c r="C41" s="84" t="n">
        <v>4120960</v>
      </c>
      <c r="D41" s="91" t="n"/>
    </row>
    <row r="42">
      <c r="B42" s="70" t="inlineStr">
        <is>
          <t>Costo de Ventas</t>
        </is>
      </c>
      <c r="C42" s="84">
        <f>-'PT c Stock'!I23</f>
        <v/>
      </c>
      <c r="D42" s="91" t="n"/>
    </row>
    <row r="43">
      <c r="B43" s="66" t="inlineStr">
        <is>
          <t>Utilidad Bruta</t>
        </is>
      </c>
      <c r="C43" s="87">
        <f>C41+C42</f>
        <v/>
      </c>
      <c r="D43" s="91" t="n"/>
    </row>
    <row r="44">
      <c r="B44" s="70" t="inlineStr">
        <is>
          <t>Amortizaciones</t>
        </is>
      </c>
      <c r="C44" s="84">
        <f>-'PT e PPE'!F11</f>
        <v/>
      </c>
      <c r="D44" s="91" t="n"/>
    </row>
    <row r="45">
      <c r="B45" s="70" t="inlineStr">
        <is>
          <t>Gastos Adm y Ventas</t>
        </is>
      </c>
      <c r="C45" s="84" t="n">
        <v>-585663</v>
      </c>
      <c r="D45" s="91" t="n"/>
    </row>
    <row r="46">
      <c r="B46" s="70" t="inlineStr">
        <is>
          <t>Seguros</t>
        </is>
      </c>
      <c r="C46" s="84">
        <f>-'PT f Seguros'!B8</f>
        <v/>
      </c>
      <c r="D46" s="91" t="n"/>
    </row>
    <row r="47">
      <c r="B47" s="70" t="inlineStr">
        <is>
          <t>Diferencia de stock</t>
        </is>
      </c>
      <c r="C47" s="84">
        <f>-'PT c Stock'!I19</f>
        <v/>
      </c>
      <c r="D47" s="91" t="n"/>
    </row>
    <row r="48">
      <c r="B48" s="70" t="inlineStr">
        <is>
          <t>Faltante de caja</t>
        </is>
      </c>
      <c r="C48" s="84">
        <f>'PT a Caja y DC'!B24</f>
        <v/>
      </c>
      <c r="D48" s="91" t="n"/>
    </row>
    <row r="49">
      <c r="B49" s="70" t="inlineStr">
        <is>
          <t>Resultado por vta ppe</t>
        </is>
      </c>
      <c r="C49" s="84">
        <f>'PT e PPE'!B18</f>
        <v/>
      </c>
      <c r="D49" s="91" t="n"/>
    </row>
    <row r="50">
      <c r="B50" s="70" t="inlineStr">
        <is>
          <t>D/C gda</t>
        </is>
      </c>
      <c r="C50" s="84">
        <f>'PT a Caja y DC'!B35</f>
        <v/>
      </c>
      <c r="D50" s="91" t="n"/>
    </row>
    <row r="51">
      <c r="B51" s="70" t="inlineStr">
        <is>
          <t>Intereses perdidos</t>
        </is>
      </c>
      <c r="C51" s="84">
        <f>-'PT d Prestamos'!B19</f>
        <v/>
      </c>
      <c r="D51" s="91" t="n"/>
    </row>
    <row r="52">
      <c r="B52" s="70" t="n"/>
      <c r="C52" s="84" t="n"/>
      <c r="D52" s="91" t="n"/>
    </row>
    <row r="53">
      <c r="B53" s="79" t="n"/>
      <c r="C53" s="92" t="n"/>
      <c r="D53" s="91" t="n"/>
      <c r="G53" s="85" t="n"/>
      <c r="H53" s="85" t="n"/>
    </row>
    <row r="54">
      <c r="B54" s="66" t="inlineStr">
        <is>
          <t>Resultado Ejercicio</t>
        </is>
      </c>
      <c r="C54" s="84">
        <f>C43+SUM(C44:C51)</f>
        <v/>
      </c>
      <c r="D54" s="91" t="n"/>
      <c r="H54" s="85" t="n"/>
    </row>
    <row r="55">
      <c r="B55" s="63" t="inlineStr">
        <is>
          <t xml:space="preserve"> </t>
        </is>
      </c>
      <c r="C55" s="91" t="n"/>
      <c r="D55" s="91" t="n"/>
    </row>
    <row r="56">
      <c r="C56" s="81" t="inlineStr">
        <is>
          <t>Resultado Ejercicio</t>
        </is>
      </c>
      <c r="D56" s="93">
        <f>C54-C35</f>
        <v/>
      </c>
      <c r="E56" s="94" t="inlineStr">
        <is>
          <t>&lt;- control ER vs ESF (debe ser 0)</t>
        </is>
      </c>
    </row>
    <row r="57">
      <c r="D57" s="85" t="n"/>
    </row>
    <row r="58">
      <c r="D58" s="85" t="n"/>
      <c r="E58" t="inlineStr">
        <is>
          <t>Balance 2024: Amort. ac. = inmueble 192.000 + equipos 10.000</t>
        </is>
      </c>
    </row>
    <row r="59">
      <c r="D59" s="8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showGridLines="0" topLeftCell="A13" workbookViewId="0">
      <selection activeCell="F35" sqref="F35"/>
    </sheetView>
  </sheetViews>
  <sheetFormatPr baseColWidth="8" defaultColWidth="11" defaultRowHeight="14.4"/>
  <cols>
    <col width="3.85185185185185" customWidth="1" min="1" max="1"/>
    <col width="6.85185185185185" customWidth="1" min="2" max="2"/>
    <col width="4" customWidth="1" min="3" max="3"/>
    <col width="6.13888888888889" customWidth="1" min="4" max="4"/>
    <col width="59.287037037037" customWidth="1" min="6" max="6"/>
  </cols>
  <sheetData>
    <row r="1">
      <c r="A1" s="95" t="inlineStr">
        <is>
          <t>ESTADO DE CAMBIOS EN EL PATRIMONIO</t>
        </is>
      </c>
      <c r="B1" s="96" t="n"/>
      <c r="C1" s="96" t="n"/>
      <c r="D1" s="96" t="n"/>
      <c r="E1" s="96" t="n"/>
      <c r="F1" s="97" t="n"/>
      <c r="G1" s="21" t="n"/>
      <c r="H1" s="21" t="n"/>
      <c r="I1" s="21" t="n"/>
      <c r="J1" s="21" t="n"/>
      <c r="K1" s="21" t="n"/>
      <c r="L1" s="21" t="n"/>
    </row>
    <row r="2" ht="15.15" customHeight="1">
      <c r="A2" s="98" t="n"/>
      <c r="B2" s="99" t="n"/>
      <c r="C2" s="99" t="n"/>
      <c r="D2" s="99" t="n"/>
      <c r="E2" s="99" t="n"/>
      <c r="F2" s="100" t="n"/>
      <c r="G2" s="21" t="n"/>
      <c r="H2" s="21" t="n"/>
      <c r="I2" s="21" t="n"/>
      <c r="J2" s="21" t="n"/>
      <c r="K2" s="21" t="n"/>
      <c r="L2" s="21" t="n"/>
    </row>
    <row r="3">
      <c r="A3" s="25" t="n"/>
      <c r="B3" s="25" t="n"/>
      <c r="C3" s="25" t="n"/>
      <c r="D3" s="25" t="n"/>
      <c r="E3" s="25" t="n"/>
      <c r="F3" s="25" t="n"/>
      <c r="G3" s="21" t="n"/>
      <c r="H3" s="21" t="n"/>
      <c r="I3" s="21" t="n"/>
      <c r="J3" s="21" t="n"/>
      <c r="K3" s="21" t="n"/>
      <c r="L3" s="21" t="n"/>
    </row>
    <row r="4">
      <c r="A4" s="25" t="n"/>
      <c r="B4" s="25" t="n"/>
      <c r="C4" s="25" t="n"/>
      <c r="D4" s="25" t="n"/>
      <c r="E4" s="25" t="n"/>
      <c r="F4" s="25" t="n"/>
      <c r="G4" s="101" t="inlineStr">
        <is>
          <t xml:space="preserve">Patrimonio </t>
        </is>
      </c>
      <c r="H4" s="102" t="n"/>
      <c r="I4" s="102" t="n"/>
      <c r="J4" s="102" t="n"/>
      <c r="K4" s="102" t="n"/>
      <c r="L4" s="103" t="n"/>
    </row>
    <row r="5">
      <c r="A5" s="25" t="n"/>
      <c r="B5" s="25" t="n"/>
      <c r="C5" s="25" t="n"/>
      <c r="D5" s="25" t="n"/>
      <c r="E5" s="25" t="n"/>
      <c r="F5" s="25" t="n"/>
      <c r="G5" s="101" t="inlineStr">
        <is>
          <t>Patrimonio atribuible a los propietarios de la controladora</t>
        </is>
      </c>
      <c r="H5" s="102" t="n"/>
      <c r="I5" s="102" t="n"/>
      <c r="J5" s="102" t="n"/>
      <c r="K5" s="102" t="n"/>
      <c r="L5" s="103" t="n"/>
    </row>
    <row r="6" ht="41.4" customHeight="1">
      <c r="A6" s="25" t="n"/>
      <c r="B6" s="25" t="n"/>
      <c r="C6" s="25" t="n"/>
      <c r="D6" s="25" t="n"/>
      <c r="E6" s="25" t="n"/>
      <c r="F6" s="25" t="n"/>
      <c r="G6" s="29" t="inlineStr">
        <is>
          <t xml:space="preserve">Capital Integrado </t>
        </is>
      </c>
      <c r="H6" s="29" t="inlineStr">
        <is>
          <t>Aportes a capitalizar</t>
        </is>
      </c>
      <c r="I6" s="29" t="inlineStr">
        <is>
          <t xml:space="preserve">Ajustes al patrimonio </t>
        </is>
      </c>
      <c r="J6" s="29" t="inlineStr">
        <is>
          <t>Reservas de utilidades</t>
        </is>
      </c>
      <c r="K6" s="29" t="inlineStr">
        <is>
          <t>Resultados acumulados</t>
        </is>
      </c>
      <c r="L6" s="30" t="inlineStr">
        <is>
          <t>Total</t>
        </is>
      </c>
    </row>
    <row r="7">
      <c r="A7" s="104" t="inlineStr">
        <is>
          <t>Periodo 01/01/2025 al 31/12/2025</t>
        </is>
      </c>
      <c r="B7" s="102" t="n"/>
      <c r="C7" s="102" t="n"/>
      <c r="D7" s="102" t="n"/>
      <c r="E7" s="102" t="n"/>
      <c r="F7" s="103" t="n"/>
      <c r="G7" s="105" t="n"/>
      <c r="H7" s="105" t="n"/>
      <c r="I7" s="105" t="n"/>
      <c r="J7" s="105" t="n"/>
      <c r="K7" s="105" t="n"/>
      <c r="L7" s="105" t="n"/>
    </row>
    <row r="8">
      <c r="A8" s="35" t="n"/>
      <c r="B8" s="53" t="inlineStr">
        <is>
          <t>Estado de cambios en el patrimonio [resumen]</t>
        </is>
      </c>
      <c r="C8" s="102" t="n"/>
      <c r="D8" s="102" t="n"/>
      <c r="E8" s="102" t="n"/>
      <c r="F8" s="103" t="n"/>
      <c r="G8" s="105" t="n"/>
      <c r="H8" s="105" t="n"/>
      <c r="I8" s="105" t="n"/>
      <c r="J8" s="105" t="n"/>
      <c r="K8" s="105" t="n"/>
      <c r="L8" s="105" t="n"/>
    </row>
    <row r="9">
      <c r="A9" s="35" t="n"/>
      <c r="B9" s="35" t="n"/>
      <c r="C9" s="53" t="inlineStr">
        <is>
          <t>Estado de cambios en el patrimonio [partidas]</t>
        </is>
      </c>
      <c r="D9" s="102" t="n"/>
      <c r="E9" s="102" t="n"/>
      <c r="F9" s="103" t="n"/>
      <c r="G9" s="105" t="n"/>
      <c r="H9" s="105" t="n"/>
      <c r="I9" s="105" t="n"/>
      <c r="J9" s="105" t="n"/>
      <c r="K9" s="105" t="n"/>
      <c r="L9" s="105" t="n"/>
    </row>
    <row r="10">
      <c r="A10" s="39" t="n"/>
      <c r="B10" s="39" t="n"/>
      <c r="C10" s="39" t="n"/>
      <c r="D10" s="40" t="inlineStr">
        <is>
          <t>Saldo inicial de patrimonio</t>
        </is>
      </c>
      <c r="E10" s="106" t="n"/>
      <c r="F10" s="107" t="n"/>
      <c r="G10" s="108">
        <f>'ESF Y ER 2025 LETRA'!D31</f>
        <v/>
      </c>
      <c r="H10" s="108">
        <f>'ESF Y ER 2025 LETRA'!D32</f>
        <v/>
      </c>
      <c r="I10" s="108" t="n">
        <v>0</v>
      </c>
      <c r="J10" s="108">
        <f>'ESF Y ER 2025 LETRA'!D33</f>
        <v/>
      </c>
      <c r="K10" s="108">
        <f>'ESF Y ER 2025 LETRA'!D34+'ESF Y ER 2025 LETRA'!D35</f>
        <v/>
      </c>
      <c r="L10" s="108">
        <f>SUM(G10:K10)</f>
        <v/>
      </c>
    </row>
    <row r="11">
      <c r="A11" s="35" t="n"/>
      <c r="B11" s="35" t="n"/>
      <c r="C11" s="35" t="n"/>
      <c r="D11" s="109" t="inlineStr">
        <is>
          <t>Cambios en el patrimonio [resumen]</t>
        </is>
      </c>
      <c r="E11" s="102" t="n"/>
      <c r="F11" s="103" t="n"/>
      <c r="G11" s="105" t="n"/>
      <c r="H11" s="105" t="n"/>
      <c r="I11" s="105" t="n"/>
      <c r="J11" s="105" t="n"/>
      <c r="K11" s="105" t="n"/>
      <c r="L11" s="110" t="n"/>
    </row>
    <row r="12">
      <c r="A12" s="35" t="n"/>
      <c r="B12" s="35" t="n"/>
      <c r="C12" s="35" t="n"/>
      <c r="D12" s="35" t="n"/>
      <c r="E12" s="46" t="inlineStr">
        <is>
          <t>Ajuste por cambios en políticas contables</t>
        </is>
      </c>
      <c r="F12" s="107" t="n"/>
      <c r="G12" s="111" t="n">
        <v>0</v>
      </c>
      <c r="H12" s="111" t="n">
        <v>0</v>
      </c>
      <c r="I12" s="111" t="n">
        <v>0</v>
      </c>
      <c r="J12" s="111" t="n">
        <v>0</v>
      </c>
      <c r="K12" s="112" t="n">
        <v>0</v>
      </c>
      <c r="L12" s="113">
        <f>SUM(G12:K12)</f>
        <v/>
      </c>
    </row>
    <row r="13">
      <c r="A13" s="35" t="n"/>
      <c r="B13" s="35" t="n"/>
      <c r="C13" s="35" t="n"/>
      <c r="D13" s="35" t="n"/>
      <c r="E13" s="46" t="inlineStr">
        <is>
          <t>Ajuste por corrección de errores</t>
        </is>
      </c>
      <c r="F13" s="107" t="n"/>
      <c r="G13" s="114" t="n">
        <v>0</v>
      </c>
      <c r="H13" s="114" t="n">
        <v>0</v>
      </c>
      <c r="I13" s="114" t="n">
        <v>0</v>
      </c>
      <c r="J13" s="114" t="n">
        <v>0</v>
      </c>
      <c r="K13" s="115" t="n">
        <v>0</v>
      </c>
      <c r="L13" s="116">
        <f>SUM(G13:K13)</f>
        <v/>
      </c>
    </row>
    <row r="14">
      <c r="A14" s="39" t="n"/>
      <c r="B14" s="39" t="n"/>
      <c r="C14" s="39" t="n"/>
      <c r="D14" s="39" t="n"/>
      <c r="E14" s="40" t="inlineStr">
        <is>
          <t>Saldo inicial modificado por cambios en políticas contables y corrección de errores</t>
        </is>
      </c>
      <c r="F14" s="107" t="n"/>
      <c r="G14" s="108">
        <f>+G10+G12+G13</f>
        <v/>
      </c>
      <c r="H14" s="108">
        <f>+H10+H12+H13</f>
        <v/>
      </c>
      <c r="I14" s="108">
        <f>+I10+I12+I13</f>
        <v/>
      </c>
      <c r="J14" s="108">
        <f>+J10+J12+J13</f>
        <v/>
      </c>
      <c r="K14" s="108">
        <f>+K10+K12+K13</f>
        <v/>
      </c>
      <c r="L14" s="108">
        <f>+L10+L12+L13</f>
        <v/>
      </c>
    </row>
    <row r="15">
      <c r="A15" s="35" t="n"/>
      <c r="B15" s="35" t="n"/>
      <c r="C15" s="35" t="n"/>
      <c r="D15" s="35" t="n"/>
      <c r="E15" s="109" t="inlineStr">
        <is>
          <t>Resultado integral [resumen]</t>
        </is>
      </c>
      <c r="F15" s="103" t="n"/>
      <c r="G15" s="105" t="n"/>
      <c r="H15" s="105" t="n"/>
      <c r="I15" s="105" t="n"/>
      <c r="J15" s="105" t="n"/>
      <c r="K15" s="105" t="n"/>
      <c r="L15" s="105" t="n"/>
    </row>
    <row r="16">
      <c r="A16" s="35" t="n"/>
      <c r="B16" s="35" t="n"/>
      <c r="C16" s="35" t="n"/>
      <c r="D16" s="35" t="n"/>
      <c r="E16" s="35" t="n"/>
      <c r="F16" s="53" t="inlineStr">
        <is>
          <t>Resultado del ejercicio</t>
        </is>
      </c>
      <c r="G16" s="117" t="n"/>
      <c r="H16" s="117" t="n"/>
      <c r="I16" s="117" t="n"/>
      <c r="J16" s="117" t="n"/>
      <c r="K16" s="117">
        <f>'ESF Y ER 2025 LETRA'!C54</f>
        <v/>
      </c>
      <c r="L16" s="113">
        <f>SUM(G16:K16)</f>
        <v/>
      </c>
    </row>
    <row r="17" ht="16.5" customHeight="1">
      <c r="A17" s="35" t="n"/>
      <c r="B17" s="35" t="n"/>
      <c r="C17" s="35" t="n"/>
      <c r="D17" s="35" t="n"/>
      <c r="E17" s="35" t="n"/>
      <c r="F17" s="53" t="inlineStr">
        <is>
          <t>Otro resultado integral</t>
        </is>
      </c>
      <c r="G17" s="114" t="n">
        <v>0</v>
      </c>
      <c r="H17" s="114" t="n">
        <v>0</v>
      </c>
      <c r="I17" s="114" t="n">
        <v>0</v>
      </c>
      <c r="J17" s="114" t="n">
        <v>0</v>
      </c>
      <c r="K17" s="114" t="n">
        <v>0</v>
      </c>
      <c r="L17" s="116">
        <f>SUM(G17:K17)</f>
        <v/>
      </c>
    </row>
    <row r="18">
      <c r="A18" s="39" t="n"/>
      <c r="B18" s="39" t="n"/>
      <c r="C18" s="39" t="n"/>
      <c r="D18" s="39" t="n"/>
      <c r="E18" s="40" t="n"/>
      <c r="F18" s="40" t="inlineStr">
        <is>
          <t>Total resultado integral</t>
        </is>
      </c>
      <c r="G18" s="108">
        <f>+G16+G17</f>
        <v/>
      </c>
      <c r="H18" s="108">
        <f>+H16+H17</f>
        <v/>
      </c>
      <c r="I18" s="108">
        <f>+I16+I17</f>
        <v/>
      </c>
      <c r="J18" s="108">
        <f>+J16+J17</f>
        <v/>
      </c>
      <c r="K18" s="108">
        <f>+K16+K17</f>
        <v/>
      </c>
      <c r="L18" s="108">
        <f>+L16+L17</f>
        <v/>
      </c>
    </row>
    <row r="19">
      <c r="A19" s="35" t="n"/>
      <c r="B19" s="35" t="n"/>
      <c r="C19" s="35" t="n"/>
      <c r="D19" s="35" t="n"/>
      <c r="E19" s="46" t="inlineStr">
        <is>
          <t>Aportes de capital</t>
        </is>
      </c>
      <c r="F19" s="107" t="n"/>
      <c r="G19" s="118">
        <f>'PT g Patrimonio'!B12</f>
        <v/>
      </c>
      <c r="H19" s="118" t="n">
        <v>200000</v>
      </c>
      <c r="I19" s="118" t="n">
        <v>0</v>
      </c>
      <c r="J19" s="118" t="n">
        <v>0</v>
      </c>
      <c r="K19" s="118" t="n">
        <v>0</v>
      </c>
      <c r="L19" s="119">
        <f>SUM(G19:K19)</f>
        <v/>
      </c>
    </row>
    <row r="20">
      <c r="A20" s="35" t="n"/>
      <c r="B20" s="35" t="n"/>
      <c r="C20" s="35" t="n"/>
      <c r="D20" s="35" t="n"/>
      <c r="E20" s="46" t="inlineStr">
        <is>
          <t>Incrementos (disminuciones) de reserva de utilidades</t>
        </is>
      </c>
      <c r="F20" s="107" t="n"/>
      <c r="G20" s="117" t="n">
        <v>0</v>
      </c>
      <c r="H20" s="117" t="n">
        <v>0</v>
      </c>
      <c r="I20" s="117" t="n">
        <v>0</v>
      </c>
      <c r="J20" s="117">
        <f>'PT g Patrimonio'!B4</f>
        <v/>
      </c>
      <c r="K20" s="117">
        <f>-'PT g Patrimonio'!B4</f>
        <v/>
      </c>
      <c r="L20" s="120">
        <f>SUM(G20:K20)</f>
        <v/>
      </c>
      <c r="M20" s="85" t="n"/>
    </row>
    <row r="21">
      <c r="A21" s="35" t="n"/>
      <c r="B21" s="35" t="n"/>
      <c r="C21" s="35" t="n"/>
      <c r="D21" s="35" t="n"/>
      <c r="E21" s="46" t="inlineStr">
        <is>
          <t>Dividendos reconocidos como distribuciones a los propietarios</t>
        </is>
      </c>
      <c r="F21" s="107" t="n"/>
      <c r="G21" s="118" t="n">
        <v>0</v>
      </c>
      <c r="H21" s="118">
        <f>'PT g Patrimonio'!B5</f>
        <v/>
      </c>
      <c r="I21" s="118" t="n">
        <v>0</v>
      </c>
      <c r="J21" s="118" t="n">
        <v>0</v>
      </c>
      <c r="K21" s="118">
        <f>-('PT g Patrimonio'!B5+'PT g Patrimonio'!B6)</f>
        <v/>
      </c>
      <c r="L21" s="119">
        <f>SUM(G21:K21)</f>
        <v/>
      </c>
    </row>
    <row r="22">
      <c r="A22" s="35" t="n"/>
      <c r="B22" s="35" t="n"/>
      <c r="C22" s="35" t="n"/>
      <c r="D22" s="35" t="n"/>
      <c r="E22" s="46" t="inlineStr">
        <is>
          <t>Incrementos por otras aportaciones de los propietarios, patrimonio</t>
        </is>
      </c>
      <c r="F22" s="107" t="n"/>
      <c r="G22" s="117" t="n">
        <v>0</v>
      </c>
      <c r="H22" s="117" t="n">
        <v>0</v>
      </c>
      <c r="I22" s="117" t="n">
        <v>0</v>
      </c>
      <c r="J22" s="117" t="n">
        <v>0</v>
      </c>
      <c r="K22" s="117" t="n">
        <v>0</v>
      </c>
      <c r="L22" s="120">
        <f>SUM(G22:K22)</f>
        <v/>
      </c>
    </row>
    <row r="23">
      <c r="A23" s="35" t="n"/>
      <c r="B23" s="35" t="n"/>
      <c r="C23" s="35" t="n"/>
      <c r="D23" s="35" t="n"/>
      <c r="E23" s="46" t="inlineStr">
        <is>
          <t>Disminuciones por otras distribuciones a los propietarios, patrimonio</t>
        </is>
      </c>
      <c r="F23" s="107" t="n"/>
      <c r="G23" s="118" t="n">
        <v>0</v>
      </c>
      <c r="H23" s="118" t="n">
        <v>0</v>
      </c>
      <c r="I23" s="118" t="n">
        <v>0</v>
      </c>
      <c r="J23" s="118" t="n">
        <v>0</v>
      </c>
      <c r="K23" s="118" t="n">
        <v>0</v>
      </c>
      <c r="L23" s="119">
        <f>SUM(G23:K23)</f>
        <v/>
      </c>
    </row>
    <row r="24">
      <c r="A24" s="35" t="n"/>
      <c r="B24" s="35" t="n"/>
      <c r="C24" s="35" t="n"/>
      <c r="D24" s="35" t="n"/>
      <c r="E24" s="58" t="inlineStr">
        <is>
          <t xml:space="preserve">Incrementos (disminuciones) por otros cambios, patrimonio   </t>
        </is>
      </c>
      <c r="F24" s="107" t="n"/>
      <c r="G24" s="117">
        <f>'PT g Patrimonio'!B11</f>
        <v/>
      </c>
      <c r="H24" s="117">
        <f>-'PT g Patrimonio'!B11</f>
        <v/>
      </c>
      <c r="I24" s="117" t="n">
        <v>0</v>
      </c>
      <c r="J24" s="117" t="n">
        <v>0</v>
      </c>
      <c r="K24" s="117" t="n">
        <v>0</v>
      </c>
      <c r="L24" s="120">
        <f>SUM(G24:K24)</f>
        <v/>
      </c>
    </row>
    <row r="25">
      <c r="A25" s="35" t="n"/>
      <c r="B25" s="35" t="n"/>
      <c r="C25" s="35" t="n"/>
      <c r="D25" s="35" t="n"/>
      <c r="E25" s="46" t="inlineStr">
        <is>
          <t>Incrementos (disminuciones) por transacciones con acciones propias, patrimonio</t>
        </is>
      </c>
      <c r="F25" s="107" t="n"/>
      <c r="G25" s="118" t="n">
        <v>0</v>
      </c>
      <c r="H25" s="118" t="n">
        <v>0</v>
      </c>
      <c r="I25" s="118" t="n">
        <v>0</v>
      </c>
      <c r="J25" s="118" t="n">
        <v>0</v>
      </c>
      <c r="K25" s="118" t="n">
        <v>0</v>
      </c>
      <c r="L25" s="119">
        <f>SUM(G25:K25)</f>
        <v/>
      </c>
    </row>
    <row r="26">
      <c r="A26" s="35" t="n"/>
      <c r="B26" s="35" t="n"/>
      <c r="C26" s="35" t="n"/>
      <c r="D26" s="35" t="n"/>
      <c r="E26" s="46" t="inlineStr">
        <is>
          <t>Incrementos (disminuciones) por cambios en las participaciones en la propiedad de subsidiarias que no dan lugar a pérdida de control, patrimonio</t>
        </is>
      </c>
      <c r="F26" s="107" t="n"/>
      <c r="G26" s="117" t="n">
        <v>0</v>
      </c>
      <c r="H26" s="117" t="n">
        <v>0</v>
      </c>
      <c r="I26" s="117" t="n">
        <v>0</v>
      </c>
      <c r="J26" s="117" t="n">
        <v>0</v>
      </c>
      <c r="K26" s="117" t="n">
        <v>0</v>
      </c>
      <c r="L26" s="120">
        <f>SUM(G26:K26)</f>
        <v/>
      </c>
    </row>
    <row r="27">
      <c r="A27" s="35" t="n"/>
      <c r="B27" s="35" t="n"/>
      <c r="C27" s="35" t="n"/>
      <c r="D27" s="35" t="n"/>
      <c r="E27" s="46" t="inlineStr">
        <is>
          <t>Incrementos (disminuciones) por transacciones con pagos basados en acciones, patrimonio</t>
        </is>
      </c>
      <c r="F27" s="107" t="n"/>
      <c r="G27" s="114" t="n">
        <v>0</v>
      </c>
      <c r="H27" s="114" t="n">
        <v>0</v>
      </c>
      <c r="I27" s="114" t="n">
        <v>0</v>
      </c>
      <c r="J27" s="114" t="n">
        <v>0</v>
      </c>
      <c r="K27" s="114" t="n">
        <v>0</v>
      </c>
      <c r="L27" s="121">
        <f>SUM(G27:K27)</f>
        <v/>
      </c>
    </row>
    <row r="28">
      <c r="A28" s="39" t="n"/>
      <c r="B28" s="39" t="n"/>
      <c r="C28" s="39" t="n"/>
      <c r="D28" s="40" t="n"/>
      <c r="E28" s="40" t="inlineStr">
        <is>
          <t>Total incrementos (disminuciones) en el patrimonio</t>
        </is>
      </c>
      <c r="F28" s="107" t="n"/>
      <c r="G28" s="108">
        <f>SUM(G18:G27)</f>
        <v/>
      </c>
      <c r="H28" s="108">
        <f>SUM(H18:H27)</f>
        <v/>
      </c>
      <c r="I28" s="108">
        <f>SUM(I18:I27)</f>
        <v/>
      </c>
      <c r="J28" s="108">
        <f>SUM(J18:J27)</f>
        <v/>
      </c>
      <c r="K28" s="108">
        <f>SUM(K18:K27)</f>
        <v/>
      </c>
      <c r="L28" s="108">
        <f>SUM(L18:L27)</f>
        <v/>
      </c>
    </row>
    <row r="29">
      <c r="A29" s="40" t="n"/>
      <c r="B29" s="40" t="n"/>
      <c r="C29" s="40" t="n"/>
      <c r="D29" s="40" t="inlineStr">
        <is>
          <t>Saldo final de patrimonio</t>
        </is>
      </c>
      <c r="E29" s="106" t="n"/>
      <c r="F29" s="107" t="n"/>
      <c r="G29" s="122">
        <f>+G14+G28</f>
        <v/>
      </c>
      <c r="H29" s="122">
        <f>+H14+H28</f>
        <v/>
      </c>
      <c r="I29" s="122">
        <f>+I14+I28</f>
        <v/>
      </c>
      <c r="J29" s="122">
        <f>+J14+J28</f>
        <v/>
      </c>
      <c r="K29" s="122">
        <f>+K14+K28</f>
        <v/>
      </c>
      <c r="L29" s="122">
        <f>+L28+L14</f>
        <v/>
      </c>
    </row>
    <row r="31">
      <c r="D31" t="inlineStr">
        <is>
          <t>Control vs Estado de Situacion Financiera (debe ser 0)</t>
        </is>
      </c>
    </row>
    <row r="32">
      <c r="G32" s="85">
        <f>G29-'ESF Y ER 2025 LETRA'!C31</f>
        <v/>
      </c>
      <c r="H32" s="85">
        <f>H29-'ESF Y ER 2025 LETRA'!C32</f>
        <v/>
      </c>
      <c r="J32" s="85">
        <f>J29-'ESF Y ER 2025 LETRA'!C33</f>
        <v/>
      </c>
      <c r="K32" s="85">
        <f>K29-'ESF Y ER 2025 LETRA'!C34-'ESF Y ER 2025 LETRA'!C35</f>
        <v/>
      </c>
      <c r="L32" s="85">
        <f>L29-'ESF Y ER 2025 LETRA'!C36</f>
        <v/>
      </c>
    </row>
    <row r="34">
      <c r="D34" t="inlineStr">
        <is>
          <t>Notas: (1) Fila 19: aporte en efectivo 31/10 (integra capital) y vehiculo 200.000 (aportes a capitalizar).</t>
        </is>
      </c>
    </row>
    <row r="35">
      <c r="D35" t="inlineStr">
        <is>
          <t>(2) Fila 20: reserva legal 5% s/ 800.000. (3) Fila 21: dividendos: 400.000 en acciones (pasan a Aportes a capitalizar) + 200.000 en efectivo.</t>
        </is>
      </c>
    </row>
    <row r="36">
      <c r="D36" t="inlineStr">
        <is>
          <t>(4) Fila 24: capitalizacion 03/01/2025 de los aportes a capitalizar 2024 (400.000) - reclasificacion sin efecto en el total.</t>
        </is>
      </c>
    </row>
  </sheetData>
  <mergeCells count="23">
    <mergeCell ref="E12:F12"/>
    <mergeCell ref="D11:F11"/>
    <mergeCell ref="E24:F24"/>
    <mergeCell ref="E23:F23"/>
    <mergeCell ref="E14:F14"/>
    <mergeCell ref="E20:F20"/>
    <mergeCell ref="G5:L5"/>
    <mergeCell ref="E19:F19"/>
    <mergeCell ref="A1:F2"/>
    <mergeCell ref="E28:F28"/>
    <mergeCell ref="E13:F13"/>
    <mergeCell ref="G4:L4"/>
    <mergeCell ref="B8:F8"/>
    <mergeCell ref="D29:F29"/>
    <mergeCell ref="E15:F15"/>
    <mergeCell ref="E27:F27"/>
    <mergeCell ref="E26:F26"/>
    <mergeCell ref="D10:F10"/>
    <mergeCell ref="C9:F9"/>
    <mergeCell ref="E25:F25"/>
    <mergeCell ref="E22:F22"/>
    <mergeCell ref="A7:F7"/>
    <mergeCell ref="E21:F21"/>
  </mergeCells>
  <pageMargins left="0.7086614173228351" right="0.7086614173228351" top="0.748031496062992" bottom="0.748031496062992" header="0.31496062992126" footer="0.31496062992126"/>
  <pageSetup orientation="landscape" paperSize="9" scale="8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3:K49"/>
  <sheetViews>
    <sheetView showGridLines="0" tabSelected="1" workbookViewId="0">
      <selection activeCell="D20" sqref="D20"/>
    </sheetView>
  </sheetViews>
  <sheetFormatPr baseColWidth="8" defaultColWidth="11" defaultRowHeight="15.6"/>
  <cols>
    <col width="11.4259259259259" customWidth="1" style="1" min="1" max="6"/>
    <col width="14" customWidth="1" min="2" max="2"/>
    <col width="12.712962962963" customWidth="1" style="1" min="7" max="8"/>
    <col width="11.4259259259259" customWidth="1" style="1" min="9" max="9"/>
  </cols>
  <sheetData>
    <row r="3" ht="16.35" customHeight="1">
      <c r="A3" s="123" t="inlineStr">
        <is>
          <t>ESTADO DE FLUJO DE EFECTIVO (Método Indirecto)</t>
        </is>
      </c>
      <c r="B3" s="124" t="n"/>
      <c r="C3" s="124" t="n"/>
      <c r="D3" s="124" t="n"/>
      <c r="E3" s="124" t="n"/>
      <c r="F3" s="124" t="n"/>
      <c r="G3" s="125" t="n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6" t="inlineStr">
        <is>
          <t>1. Fondos relacionados a operaciones</t>
        </is>
      </c>
      <c r="B5" s="5" t="n"/>
      <c r="C5" s="5" t="n"/>
      <c r="D5" s="5" t="n"/>
      <c r="E5" s="5" t="n"/>
      <c r="F5" s="5" t="n"/>
      <c r="G5" s="5" t="n"/>
    </row>
    <row r="6">
      <c r="A6" s="5" t="n"/>
      <c r="B6" s="5" t="inlineStr">
        <is>
          <t>Resultado del ejercicio</t>
        </is>
      </c>
      <c r="C6" s="5" t="n"/>
      <c r="D6" s="5" t="n"/>
      <c r="E6" s="5" t="n"/>
      <c r="F6" s="126">
        <f>'ESF Y ER 2025 LETRA'!C54</f>
        <v/>
      </c>
      <c r="G6" s="5" t="n"/>
    </row>
    <row r="7">
      <c r="A7" s="5" t="n"/>
      <c r="B7" s="5" t="inlineStr">
        <is>
          <t>Amortizaciones (no afecta fondos)</t>
        </is>
      </c>
      <c r="C7" s="5" t="n"/>
      <c r="D7" s="5" t="n"/>
      <c r="E7" s="5" t="n"/>
      <c r="F7" s="126">
        <f>-'ESF Y ER 2025 LETRA'!C44</f>
        <v/>
      </c>
      <c r="G7" s="5" t="n"/>
    </row>
    <row r="8">
      <c r="A8" s="5" t="n"/>
      <c r="B8" s="5" t="inlineStr">
        <is>
          <t>Resultado por venta de PPE (se refleja en inversiones)</t>
        </is>
      </c>
      <c r="C8" s="5" t="n"/>
      <c r="D8" s="5" t="n"/>
      <c r="E8" s="5" t="n"/>
      <c r="F8" s="126">
        <f>-'ESF Y ER 2025 LETRA'!C49</f>
        <v/>
      </c>
      <c r="G8" s="5" t="n"/>
    </row>
    <row r="9">
      <c r="A9" s="5" t="n"/>
      <c r="B9" s="5" t="n"/>
      <c r="C9" s="5" t="n"/>
      <c r="D9" s="5" t="n"/>
      <c r="E9" s="5" t="n"/>
      <c r="F9" s="7" t="n"/>
      <c r="G9" s="5" t="n"/>
    </row>
    <row r="10">
      <c r="A10" s="5" t="n"/>
      <c r="B10" s="5" t="n"/>
      <c r="C10" s="5" t="n"/>
      <c r="D10" s="5" t="n"/>
      <c r="E10" s="5" t="n"/>
      <c r="F10" s="8" t="n"/>
      <c r="G10" s="5" t="n"/>
    </row>
    <row r="11">
      <c r="A11" s="5" t="n"/>
      <c r="B11" s="5" t="n"/>
      <c r="C11" s="5" t="n"/>
      <c r="D11" s="5" t="n"/>
      <c r="E11" s="5" t="n"/>
      <c r="G11" s="127">
        <f>SUM(F6:F9)</f>
        <v/>
      </c>
    </row>
    <row r="12">
      <c r="A12" s="5" t="n"/>
      <c r="B12" s="5" t="inlineStr">
        <is>
          <t>Variación de activos y pasivos:</t>
        </is>
      </c>
      <c r="C12" s="5" t="n"/>
      <c r="D12" s="5" t="n"/>
      <c r="E12" s="5" t="n"/>
      <c r="F12" s="5" t="n"/>
      <c r="G12" s="127" t="n"/>
    </row>
    <row r="13">
      <c r="A13" s="5" t="n"/>
      <c r="B13" s="5" t="inlineStr">
        <is>
          <t>Cheques diferidos a cobrar</t>
        </is>
      </c>
      <c r="C13" s="5" t="n"/>
      <c r="D13" s="5" t="n"/>
      <c r="E13" s="5" t="n"/>
      <c r="F13" s="126">
        <f>-('ESF Y ER 2025 LETRA'!C9-'ESF Y ER 2025 LETRA'!D9)</f>
        <v/>
      </c>
      <c r="G13" s="127" t="n"/>
    </row>
    <row r="14">
      <c r="A14" s="5" t="n"/>
      <c r="B14" s="5" t="inlineStr">
        <is>
          <t>Deudores por ventas</t>
        </is>
      </c>
      <c r="C14" s="5" t="n"/>
      <c r="D14" s="5" t="n"/>
      <c r="E14" s="5" t="n"/>
      <c r="F14" s="126">
        <f>-('ESF Y ER 2025 LETRA'!C10-'ESF Y ER 2025 LETRA'!D10)</f>
        <v/>
      </c>
      <c r="G14" s="127" t="n"/>
    </row>
    <row r="15">
      <c r="A15" s="5" t="n"/>
      <c r="B15" s="5" t="inlineStr">
        <is>
          <t>Seguros pagos por adelantado</t>
        </is>
      </c>
      <c r="C15" s="5" t="n"/>
      <c r="D15" s="5" t="n"/>
      <c r="E15" s="5" t="n"/>
      <c r="F15" s="126">
        <f>-('ESF Y ER 2025 LETRA'!C11-'ESF Y ER 2025 LETRA'!D11)</f>
        <v/>
      </c>
      <c r="G15" s="127" t="n"/>
    </row>
    <row r="16">
      <c r="A16" s="5" t="n"/>
      <c r="B16" s="5" t="inlineStr">
        <is>
          <t>Inventarios</t>
        </is>
      </c>
      <c r="C16" s="5" t="n"/>
      <c r="D16" s="5" t="n"/>
      <c r="E16" s="5" t="n"/>
      <c r="F16" s="126">
        <f>-('ESF Y ER 2025 LETRA'!C12-'ESF Y ER 2025 LETRA'!D12)</f>
        <v/>
      </c>
      <c r="G16" s="127" t="n"/>
    </row>
    <row r="17">
      <c r="A17" s="5" t="n"/>
      <c r="B17" s="5" t="inlineStr">
        <is>
          <t>Acreedores por compras locales</t>
        </is>
      </c>
      <c r="C17" s="5" t="n"/>
      <c r="D17" s="5" t="n"/>
      <c r="E17" s="5" t="n"/>
      <c r="F17" s="126">
        <f>'ESF Y ER 2025 LETRA'!C19-'ESF Y ER 2025 LETRA'!D19</f>
        <v/>
      </c>
      <c r="G17" s="127" t="n"/>
    </row>
    <row r="18">
      <c r="A18" s="5" t="n"/>
      <c r="B18" s="5" t="inlineStr">
        <is>
          <t>Seguros a pagar (neto de seguros perdidos a vencer)</t>
        </is>
      </c>
      <c r="C18" s="5" t="n"/>
      <c r="D18" s="5" t="n"/>
      <c r="E18" s="5" t="n"/>
      <c r="F18" s="126">
        <f>('ESF Y ER 2025 LETRA'!C20+'ESF Y ER 2025 LETRA'!C21)-('ESF Y ER 2025 LETRA'!D20+'ESF Y ER 2025 LETRA'!D21)</f>
        <v/>
      </c>
      <c r="G18" s="127" t="n"/>
    </row>
    <row r="19">
      <c r="A19" s="5" t="n"/>
      <c r="B19" s="5" t="inlineStr">
        <is>
          <t>Deudas diversas</t>
        </is>
      </c>
      <c r="C19" s="5" t="n"/>
      <c r="D19" s="5" t="n"/>
      <c r="E19" s="5" t="n"/>
      <c r="F19" s="126">
        <f>'ESF Y ER 2025 LETRA'!C26-'ESF Y ER 2025 LETRA'!D26</f>
        <v/>
      </c>
      <c r="G19" s="127" t="n"/>
    </row>
    <row r="20">
      <c r="A20" s="5" t="n"/>
      <c r="B20" s="5" t="n"/>
      <c r="C20" s="5" t="n"/>
      <c r="D20" s="5" t="n"/>
      <c r="E20" s="5" t="n"/>
      <c r="F20" s="8" t="n"/>
      <c r="G20" s="128">
        <f>+G11+SUM(F13:F19)</f>
        <v/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  <c r="G22" s="127" t="n"/>
    </row>
    <row r="23">
      <c r="A23" s="6" t="inlineStr">
        <is>
          <t>2. Fondos relacionados a inversiones</t>
        </is>
      </c>
      <c r="B23" s="5" t="n"/>
      <c r="C23" s="5" t="n"/>
      <c r="D23" s="5" t="n"/>
      <c r="E23" s="5" t="n"/>
      <c r="F23" s="5" t="n"/>
      <c r="G23" s="127" t="n"/>
    </row>
    <row r="24">
      <c r="A24" s="5" t="n"/>
      <c r="B24" s="5" t="inlineStr">
        <is>
          <t>Cobro por venta de equipos de computacion</t>
        </is>
      </c>
      <c r="C24" s="5" t="n"/>
      <c r="D24" s="5" t="n"/>
      <c r="E24" s="5" t="n"/>
      <c r="F24" s="126">
        <f>'PT e PPE'!B17</f>
        <v/>
      </c>
      <c r="H24" s="127" t="n"/>
    </row>
    <row r="25">
      <c r="A25" s="5" t="n"/>
      <c r="B25" s="5" t="inlineStr">
        <is>
          <t>Compra de maquina (600.000; mitad financiada con prestamo)</t>
        </is>
      </c>
      <c r="C25" s="5" t="n"/>
      <c r="D25" s="5" t="n"/>
      <c r="E25" s="5" t="n"/>
      <c r="F25" s="126">
        <f>-'PT e PPE'!B8</f>
        <v/>
      </c>
      <c r="G25" s="127" t="n"/>
      <c r="H25" s="127" t="n"/>
    </row>
    <row r="26">
      <c r="A26" s="5" t="n"/>
      <c r="B26" s="5" t="n"/>
      <c r="C26" s="5" t="n"/>
      <c r="D26" s="5" t="n"/>
      <c r="E26" s="5" t="n"/>
      <c r="F26" s="5" t="n"/>
      <c r="G26" s="128">
        <f>SUM(F24:F25)</f>
        <v/>
      </c>
    </row>
    <row r="27">
      <c r="A27" s="5" t="n"/>
      <c r="B27" s="5" t="n"/>
      <c r="C27" s="5" t="n"/>
      <c r="D27" s="5" t="n"/>
      <c r="E27" s="5" t="n"/>
      <c r="F27" s="11" t="n"/>
      <c r="G27" s="127" t="n"/>
    </row>
    <row r="28">
      <c r="A28" s="6" t="inlineStr">
        <is>
          <t>3. Fondos relacionados a financiamiento</t>
        </is>
      </c>
      <c r="B28" s="5" t="n"/>
      <c r="C28" s="5" t="n"/>
      <c r="D28" s="5" t="n"/>
      <c r="E28" s="5" t="n"/>
      <c r="F28" s="5" t="n"/>
      <c r="G28" s="127" t="n"/>
    </row>
    <row r="29">
      <c r="A29" s="5" t="n"/>
      <c r="B29" s="5" t="n"/>
      <c r="C29" s="5" t="n"/>
      <c r="D29" s="5" t="n"/>
      <c r="E29" s="5" t="n"/>
      <c r="F29" s="7" t="n"/>
      <c r="G29" s="127" t="n"/>
    </row>
    <row r="30">
      <c r="A30" s="5" t="n"/>
      <c r="B30" s="5" t="inlineStr">
        <is>
          <t>Aporte de capital en efectivo (31/10/2025)</t>
        </is>
      </c>
      <c r="C30" s="5" t="n"/>
      <c r="D30" s="5" t="n"/>
      <c r="E30" s="5" t="n"/>
      <c r="F30" s="126">
        <f>'PT g Patrimonio'!B12</f>
        <v/>
      </c>
      <c r="G30" s="127" t="n"/>
      <c r="H30" s="127" t="n"/>
    </row>
    <row r="31">
      <c r="A31" s="5" t="n"/>
      <c r="B31" s="5" t="inlineStr">
        <is>
          <t>Dividendos en efectivo pagados</t>
        </is>
      </c>
      <c r="C31" s="5" t="n"/>
      <c r="D31" s="5" t="n"/>
      <c r="E31" s="5" t="n"/>
      <c r="F31" s="126">
        <f>-'PT g Patrimonio'!B6</f>
        <v/>
      </c>
      <c r="G31" s="127" t="n"/>
      <c r="H31" s="127" t="n"/>
    </row>
    <row r="32">
      <c r="A32" s="5" t="n"/>
      <c r="B32" s="5" t="inlineStr">
        <is>
          <t>Prestamo obtenido (30/06/2025)</t>
        </is>
      </c>
      <c r="C32" s="5" t="n"/>
      <c r="D32" s="5" t="n"/>
      <c r="E32" s="5" t="n"/>
      <c r="F32" s="126" t="n">
        <v>300000</v>
      </c>
      <c r="G32" s="127" t="n"/>
    </row>
    <row r="33">
      <c r="A33" s="5" t="n"/>
      <c r="B33" s="5" t="inlineStr">
        <is>
          <t>Cancelacion de cuotas de capital prestamo 1 (30/06 y 31/12)</t>
        </is>
      </c>
      <c r="C33" s="5" t="n"/>
      <c r="D33" s="5" t="n"/>
      <c r="E33" s="5" t="n"/>
      <c r="F33" s="126">
        <f>-('PT d Prestamos'!B7+'PT d Prestamos'!B8)</f>
        <v/>
      </c>
      <c r="G33" s="127" t="n"/>
    </row>
    <row r="34">
      <c r="A34" s="5" t="n"/>
      <c r="B34" s="5" t="inlineStr">
        <is>
          <t>Cuenta directores (variacion neta)</t>
        </is>
      </c>
      <c r="C34" s="5" t="n"/>
      <c r="D34" s="5" t="n"/>
      <c r="E34" s="5" t="n"/>
      <c r="F34" s="126">
        <f>('ESF Y ER 2025 LETRA'!D15-'ESF Y ER 2025 LETRA'!D27)-('ESF Y ER 2025 LETRA'!C15-'ESF Y ER 2025 LETRA'!C27)</f>
        <v/>
      </c>
      <c r="G34" s="127" t="n"/>
    </row>
    <row r="35">
      <c r="A35" s="5" t="n"/>
      <c r="G35" s="127" t="n"/>
    </row>
    <row r="36">
      <c r="A36" s="5" t="n"/>
      <c r="B36" s="5" t="n"/>
      <c r="C36" s="5" t="n"/>
      <c r="D36" s="5" t="n"/>
      <c r="E36" s="5" t="n"/>
      <c r="F36" s="8" t="n"/>
      <c r="G36" s="129">
        <f>SUM(F30:F34)</f>
        <v/>
      </c>
    </row>
    <row r="37">
      <c r="A37" s="5" t="n"/>
      <c r="B37" s="5" t="n"/>
      <c r="C37" s="5" t="n"/>
      <c r="D37" s="5" t="n"/>
      <c r="E37" s="5" t="n"/>
      <c r="F37" s="5" t="n"/>
      <c r="G37" s="127" t="n"/>
    </row>
    <row r="38">
      <c r="A38" s="6" t="inlineStr">
        <is>
          <t>4. Variación de disponibilidades</t>
        </is>
      </c>
      <c r="B38" s="5" t="n"/>
      <c r="C38" s="5" t="n"/>
      <c r="D38" s="5" t="n"/>
      <c r="E38" s="5" t="n"/>
      <c r="F38" s="5" t="n"/>
      <c r="G38" s="127">
        <f>+G20+G26+G36</f>
        <v/>
      </c>
    </row>
    <row r="39">
      <c r="A39" s="5" t="n"/>
      <c r="B39" s="5" t="n"/>
      <c r="C39" s="5" t="n"/>
      <c r="D39" s="5" t="n"/>
      <c r="E39" s="5" t="n"/>
      <c r="F39" s="5" t="n"/>
      <c r="G39" s="127" t="n"/>
    </row>
    <row r="40">
      <c r="A40" s="6" t="inlineStr">
        <is>
          <t>5. Saldo inicial de disponibilidades</t>
        </is>
      </c>
      <c r="B40" s="5" t="inlineStr">
        <is>
          <t>Caja + Banco al 31/12/2024</t>
        </is>
      </c>
      <c r="C40" s="5" t="n"/>
      <c r="D40" s="5" t="n"/>
      <c r="E40" s="5" t="n"/>
      <c r="F40" s="5" t="n"/>
      <c r="G40" s="130">
        <f>'ESF Y ER 2025 LETRA'!D7+'ESF Y ER 2025 LETRA'!D8</f>
        <v/>
      </c>
      <c r="I40" s="131" t="n"/>
      <c r="J40" s="85" t="n"/>
    </row>
    <row r="41">
      <c r="A41" s="5" t="n"/>
      <c r="B41" s="5" t="n"/>
      <c r="C41" s="5" t="n"/>
      <c r="D41" s="5" t="n"/>
      <c r="E41" s="5" t="n"/>
      <c r="F41" s="5" t="n"/>
      <c r="G41" s="127" t="n"/>
      <c r="I41" s="131" t="n"/>
      <c r="J41" s="85" t="n"/>
    </row>
    <row r="42" ht="16.35" customHeight="1">
      <c r="A42" s="6" t="inlineStr">
        <is>
          <t>6. Saldo final de disponibilidades</t>
        </is>
      </c>
      <c r="B42" s="5" t="inlineStr">
        <is>
          <t>Caja + Banco al 31/12/2025</t>
        </is>
      </c>
      <c r="C42" s="5" t="n"/>
      <c r="D42" s="5" t="n"/>
      <c r="E42" s="5" t="n"/>
      <c r="F42" s="5" t="n"/>
      <c r="G42" s="132">
        <f>'ESF Y ER 2025 LETRA'!C7+'ESF Y ER 2025 LETRA'!C8</f>
        <v/>
      </c>
    </row>
    <row r="43" ht="16.35" customHeight="1">
      <c r="A43" s="5" t="n"/>
      <c r="B43" s="5" t="n"/>
      <c r="C43" s="5" t="n"/>
      <c r="D43" s="5" t="n"/>
      <c r="E43" s="5" t="n"/>
      <c r="F43" s="5" t="n"/>
      <c r="G43" s="127" t="n"/>
    </row>
    <row r="44">
      <c r="G44" s="133" t="n"/>
      <c r="I44" s="131" t="n"/>
    </row>
    <row r="45">
      <c r="A45" s="5" t="inlineStr">
        <is>
          <t>control</t>
        </is>
      </c>
      <c r="B45" s="5" t="n"/>
      <c r="C45" s="5" t="n"/>
      <c r="D45" s="5" t="n"/>
      <c r="E45" s="5" t="n"/>
      <c r="F45" s="5" t="n"/>
      <c r="G45" s="134">
        <f>+G40+G38-G42</f>
        <v/>
      </c>
      <c r="H45" s="5" t="n"/>
      <c r="I45" s="5" t="n"/>
      <c r="J45" s="85" t="n"/>
    </row>
    <row r="46">
      <c r="G46" s="131" t="n"/>
      <c r="I46" s="131" t="n"/>
      <c r="J46" s="1" t="n"/>
      <c r="K46" s="1" t="n"/>
    </row>
    <row r="47">
      <c r="A47" t="inlineStr">
        <is>
          <t>Transacciones sin movimiento de efectivo (no incluidas): aporte en especie (vehiculo) 200.000; dividendos en acciones 400.000; capitalizacion de aportes 400.000.</t>
        </is>
      </c>
      <c r="G47" s="131" t="n"/>
    </row>
    <row r="48">
      <c r="A48" t="inlineStr">
        <is>
          <t>Disponibilidades = Caja + Banco. Los cheques diferidos a cobrar (vto 31/03/26) no se consideran efectivo. Intereses pagados (150.000) estan dentro del resultado.</t>
        </is>
      </c>
    </row>
    <row r="49">
      <c r="G49" s="131" t="n"/>
    </row>
  </sheetData>
  <mergeCells count="1">
    <mergeCell ref="A3:G3"/>
  </mergeCells>
  <pageMargins left="0.7086614173228351" right="0.7086614173228351" top="0.748031496062992" bottom="0.748031496062992" header="0.31496062992126" footer="0.31496062992126"/>
  <pageSetup orientation="portrait" paperSize="9" scale="8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50" customWidth="1" min="4" max="4"/>
  </cols>
  <sheetData>
    <row r="1">
      <c r="A1" s="135" t="inlineStr">
        <is>
          <t>a) Arqueo de caja y diferencia de cambio</t>
        </is>
      </c>
    </row>
    <row r="2">
      <c r="A2" s="136" t="inlineStr">
        <is>
          <t>Todo en moneda nacional. Solo se actualizan Caja, Faltante/Sobrante, Cheques diferidos a cobrar y D/C.</t>
        </is>
      </c>
    </row>
    <row r="4">
      <c r="A4" s="137" t="inlineStr">
        <is>
          <t>Saldo contable de Caja MN antes del arqueo</t>
        </is>
      </c>
      <c r="B4" s="138" t="n">
        <v>42500</v>
      </c>
    </row>
    <row r="6">
      <c r="A6" s="137" t="inlineStr">
        <is>
          <t>Comprobantes en poder del cajero (aun no registrados)</t>
        </is>
      </c>
      <c r="B6" s="137" t="inlineStr">
        <is>
          <t>Efecto en Caja</t>
        </is>
      </c>
      <c r="D6" s="137" t="inlineStr">
        <is>
          <t>Criterio</t>
        </is>
      </c>
    </row>
    <row r="7">
      <c r="A7" t="inlineStr">
        <is>
          <t>e-Boleta de venta contado</t>
        </is>
      </c>
      <c r="B7" s="138" t="n">
        <v>34000</v>
      </c>
      <c r="D7" t="inlineStr">
        <is>
          <t>Cobro en efectivo: aumenta Caja</t>
        </is>
      </c>
    </row>
    <row r="8">
      <c r="A8" t="inlineStr">
        <is>
          <t>e-Factura de venta a credito</t>
        </is>
      </c>
      <c r="B8" s="138" t="n">
        <v>0</v>
      </c>
      <c r="D8" t="inlineStr">
        <is>
          <t>No afecta Caja (Ds x ventas)</t>
        </is>
      </c>
    </row>
    <row r="9">
      <c r="A9" t="inlineStr">
        <is>
          <t>Recibo por pago contado emitido por proveedor</t>
        </is>
      </c>
      <c r="B9" s="138" t="n">
        <v>-1100</v>
      </c>
      <c r="D9" t="inlineStr">
        <is>
          <t>Pago en efectivo: disminuye Caja</t>
        </is>
      </c>
    </row>
    <row r="10">
      <c r="A10" t="inlineStr">
        <is>
          <t>Recibo por cobranza con cheque del dia</t>
        </is>
      </c>
      <c r="B10" s="138" t="n">
        <v>43000</v>
      </c>
      <c r="D10" t="inlineStr">
        <is>
          <t>Cheque del dia = valor en Caja</t>
        </is>
      </c>
    </row>
    <row r="11">
      <c r="A11" t="inlineStr">
        <is>
          <t>Recibo por pago a proveedor en efectivo</t>
        </is>
      </c>
      <c r="B11" s="138" t="n">
        <v>-42500</v>
      </c>
      <c r="D11" t="inlineStr">
        <is>
          <t>Pago en efectivo: disminuye Caja</t>
        </is>
      </c>
    </row>
    <row r="12">
      <c r="A12" t="inlineStr">
        <is>
          <t>e-Facturas por compras a credito</t>
        </is>
      </c>
      <c r="B12" s="138" t="n">
        <v>0</v>
      </c>
      <c r="D12" t="inlineStr">
        <is>
          <t>No afecta Caja (Ac x compra)</t>
        </is>
      </c>
    </row>
    <row r="13">
      <c r="A13" t="inlineStr">
        <is>
          <t>Recibo de pago a proveedor con cheque Nro 5</t>
        </is>
      </c>
      <c r="B13" s="138" t="n">
        <v>0</v>
      </c>
      <c r="D13" t="inlineStr">
        <is>
          <t>Sale de Banco (ya en el mayor bancario)</t>
        </is>
      </c>
    </row>
    <row r="14">
      <c r="A14" t="inlineStr">
        <is>
          <t>Cheque diferido Nro 98 (vto 31/03/2026)</t>
        </is>
      </c>
      <c r="B14" s="138" t="n">
        <v>0</v>
      </c>
      <c r="D14" t="inlineStr">
        <is>
          <t>Ya registrado: Cheques dif. a cobrar 2.300</t>
        </is>
      </c>
    </row>
    <row r="15">
      <c r="A15" s="137" t="inlineStr">
        <is>
          <t>Saldo contable ajustado por comprobantes</t>
        </is>
      </c>
      <c r="B15" s="139">
        <f>B4+SUM(B7:B14)</f>
        <v/>
      </c>
    </row>
    <row r="17">
      <c r="A17" s="137" t="inlineStr">
        <is>
          <t>Valores contados en caja (arqueo fisico)</t>
        </is>
      </c>
    </row>
    <row r="18">
      <c r="A18" t="inlineStr">
        <is>
          <t>Monedas y billetes</t>
        </is>
      </c>
      <c r="B18" s="138" t="n">
        <v>25800</v>
      </c>
    </row>
    <row r="19">
      <c r="A19" t="inlineStr">
        <is>
          <t>Cheque del dia</t>
        </is>
      </c>
      <c r="B19" s="138" t="n">
        <v>43000</v>
      </c>
    </row>
    <row r="20">
      <c r="A20" t="inlineStr">
        <is>
          <t>Cheque diferido Nro 321 (vto 15/12/2025: ya vencido = valor al dia)</t>
        </is>
      </c>
      <c r="B20" s="138" t="n">
        <v>5500</v>
      </c>
      <c r="D20" t="inlineStr">
        <is>
          <t>A 31/12/25 ya es exigible: se trata como Caja</t>
        </is>
      </c>
    </row>
    <row r="21">
      <c r="A21" s="137" t="inlineStr">
        <is>
          <t>Total valores en caja</t>
        </is>
      </c>
      <c r="B21" s="139">
        <f>SUM(B18:B20)</f>
        <v/>
      </c>
    </row>
    <row r="23">
      <c r="A23" s="137" t="inlineStr">
        <is>
          <t>Diferencia (valores - saldo ajustado)  &lt;0 = FALTANTE</t>
        </is>
      </c>
      <c r="B23" s="140">
        <f>B21-B15</f>
        <v/>
      </c>
    </row>
    <row r="24">
      <c r="A24" t="inlineStr">
        <is>
          <t>Faltante de caja (perdida, a Estado de Resultados)</t>
        </is>
      </c>
      <c r="B24" s="138">
        <f>B23</f>
        <v/>
      </c>
    </row>
    <row r="26">
      <c r="A26" s="137" t="inlineStr">
        <is>
          <t>Caja MN al 31/12/2025</t>
        </is>
      </c>
      <c r="B26" s="140">
        <f>B15+B23</f>
        <v/>
      </c>
    </row>
    <row r="27">
      <c r="A27" s="137" t="inlineStr">
        <is>
          <t>Cheques diferidos a cobrar al 31/12/2025 (solo el Nro 98)</t>
        </is>
      </c>
      <c r="B27" s="140" t="n">
        <v>2300</v>
      </c>
    </row>
    <row r="29">
      <c r="A29" s="137" t="inlineStr">
        <is>
          <t>Diferencia de cambio (unico movimiento en USD)</t>
        </is>
      </c>
    </row>
    <row r="30">
      <c r="A30" t="inlineStr">
        <is>
          <t>USD comprados 30/06/2025</t>
        </is>
      </c>
      <c r="B30" s="138" t="n">
        <v>10000</v>
      </c>
    </row>
    <row r="31">
      <c r="A31" t="inlineStr">
        <is>
          <t>T/C 30/06/2025</t>
        </is>
      </c>
      <c r="B31" s="141" t="n">
        <v>39.548</v>
      </c>
    </row>
    <row r="32">
      <c r="A32" t="inlineStr">
        <is>
          <t>T/C 30/09/2025</t>
        </is>
      </c>
      <c r="B32" s="141" t="n">
        <v>39.845</v>
      </c>
    </row>
    <row r="33">
      <c r="A33" t="inlineStr">
        <is>
          <t>Costo de compra ($)</t>
        </is>
      </c>
      <c r="B33" s="138">
        <f>B30*B31</f>
        <v/>
      </c>
    </row>
    <row r="34">
      <c r="A34" t="inlineStr">
        <is>
          <t>Importe de venta ($)</t>
        </is>
      </c>
      <c r="B34" s="138">
        <f>B30*B32</f>
        <v/>
      </c>
    </row>
    <row r="35">
      <c r="A35" s="137" t="inlineStr">
        <is>
          <t>Diferencia de cambio GANADA</t>
        </is>
      </c>
      <c r="B35" s="140">
        <f>B34-B33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4" customWidth="1" min="3" max="3"/>
    <col width="58" customWidth="1" min="4" max="4"/>
    <col width="16" customWidth="1" min="5" max="5"/>
  </cols>
  <sheetData>
    <row r="1">
      <c r="A1" s="135" t="inlineStr">
        <is>
          <t>b) Conciliacion bancaria al 31/12/2025</t>
        </is>
      </c>
    </row>
    <row r="2">
      <c r="A2" s="136" t="inlineStr">
        <is>
          <t>Banco cuenta corriente moneda nacional</t>
        </is>
      </c>
    </row>
    <row r="4">
      <c r="A4" s="137" t="inlineStr">
        <is>
          <t>Saldo del mayor (empresa) al 31/12/25</t>
        </is>
      </c>
      <c r="B4" s="138">
        <f>258000+23000-1500+15000-10000-1100+8900-550</f>
        <v/>
      </c>
      <c r="D4" s="137" t="inlineStr">
        <is>
          <t>Saldo estado de cuenta (banco) al 31/12/25</t>
        </is>
      </c>
      <c r="E4" s="138">
        <f>154000+188000-49000+23000-14000+1500-10000-550-2500</f>
        <v/>
      </c>
    </row>
    <row r="5">
      <c r="A5" s="137" t="inlineStr">
        <is>
          <t>Ajustes a la empresa (partidas que el banco conoce y la empresa no)</t>
        </is>
      </c>
      <c r="D5" s="137" t="inlineStr">
        <is>
          <t>Ajustes al banco (partidas que la empresa conoce y el banco no)</t>
        </is>
      </c>
    </row>
    <row r="6">
      <c r="A6" t="inlineStr">
        <is>
          <t xml:space="preserve">  Costo mantenimiento cuenta corriente (nota de debito)</t>
        </is>
      </c>
      <c r="B6" s="138" t="n">
        <v>-2500</v>
      </c>
      <c r="D6" t="inlineStr">
        <is>
          <t xml:space="preserve">  Deposito en transito: boleta Nro 768 (28/12)</t>
        </is>
      </c>
      <c r="E6" s="138" t="n">
        <v>8900</v>
      </c>
    </row>
    <row r="7">
      <c r="A7" t="inlineStr">
        <is>
          <t xml:space="preserve">  Error de la empresa: transf. recibida Nro 534 registrada por 15.000 y el banco acredito 1.500</t>
        </is>
      </c>
      <c r="B7" s="138">
        <f>-(15000-1500)</f>
        <v/>
      </c>
      <c r="D7" t="inlineStr">
        <is>
          <t xml:space="preserve">  Cheque Nro 4 pendiente de cobro (proveedor X)</t>
        </is>
      </c>
      <c r="E7" s="138" t="n">
        <v>-1500</v>
      </c>
    </row>
    <row r="8">
      <c r="D8" t="inlineStr">
        <is>
          <t xml:space="preserve">  Cheque Nro 2 pendiente de cobro (conciliacion de nov.)</t>
        </is>
      </c>
      <c r="E8" s="138" t="n">
        <v>-21000</v>
      </c>
    </row>
    <row r="9">
      <c r="A9" s="137" t="inlineStr">
        <is>
          <t>Saldo conciliado - empresa</t>
        </is>
      </c>
      <c r="B9" s="142">
        <f>B4+B6+B7</f>
        <v/>
      </c>
      <c r="D9" t="inlineStr">
        <is>
          <t xml:space="preserve">  Transferencia Nro 45 (proveedor AA) no acreditada aun</t>
        </is>
      </c>
      <c r="E9" s="138" t="n">
        <v>-1100</v>
      </c>
    </row>
    <row r="10">
      <c r="D10" s="137" t="inlineStr">
        <is>
          <t>Saldo conciliado - banco</t>
        </is>
      </c>
      <c r="E10" s="142">
        <f>E4+SUM(E6:E9)</f>
        <v/>
      </c>
    </row>
    <row r="12">
      <c r="A12" s="137" t="inlineStr">
        <is>
          <t>Control (deben coincidir)</t>
        </is>
      </c>
      <c r="B12" s="143">
        <f>B9-E10</f>
        <v/>
      </c>
    </row>
    <row r="14">
      <c r="A14" t="inlineStr">
        <is>
          <t>Partidas de noviembre ya resueltas: deposito 501, cheque 1 y transferencia 76 se acreditaron/debitaron en diciembre. Cheque 2 sigue pendiente.</t>
        </is>
      </c>
    </row>
    <row r="15">
      <c r="A15" t="inlineStr">
        <is>
          <t>Supuesto: ante una diferencia empresa-banco en un importe, se presume correcto el estado de cuenta (transposicion 15.000 vs 1.500).</t>
        </is>
      </c>
    </row>
    <row r="17">
      <c r="A17" s="137" t="inlineStr">
        <is>
          <t>Banco cuenta corriente MN al 31/12/2025</t>
        </is>
      </c>
      <c r="B17" s="140">
        <f>B9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40" customWidth="1" min="10" max="10"/>
  </cols>
  <sheetData>
    <row r="1">
      <c r="A1" s="135" t="inlineStr">
        <is>
          <t>c) Planilla de stock - FIFO (PEPS), permanencia de inventario</t>
        </is>
      </c>
    </row>
    <row r="4">
      <c r="A4" s="144" t="inlineStr">
        <is>
          <t>Fecha</t>
        </is>
      </c>
      <c r="B4" s="144" t="inlineStr">
        <is>
          <t>Concepto</t>
        </is>
      </c>
      <c r="C4" s="144" t="inlineStr">
        <is>
          <t>Ent uds</t>
        </is>
      </c>
      <c r="D4" s="144" t="inlineStr">
        <is>
          <t>Ent Cunit</t>
        </is>
      </c>
      <c r="E4" s="144" t="inlineStr">
        <is>
          <t>Ent total</t>
        </is>
      </c>
      <c r="F4" s="144" t="inlineStr">
        <is>
          <t>Sal uds</t>
        </is>
      </c>
      <c r="G4" s="144" t="inlineStr">
        <is>
          <t>Sal total</t>
        </is>
      </c>
      <c r="H4" s="144" t="inlineStr">
        <is>
          <t>Saldo uds</t>
        </is>
      </c>
      <c r="I4" s="144" t="inlineStr">
        <is>
          <t>Saldo total</t>
        </is>
      </c>
      <c r="J4" s="144" t="inlineStr">
        <is>
          <t>Detalle de capas (FIFO)</t>
        </is>
      </c>
    </row>
    <row r="5">
      <c r="A5" t="inlineStr">
        <is>
          <t>SI</t>
        </is>
      </c>
      <c r="H5" s="138" t="n">
        <v>5</v>
      </c>
      <c r="I5" s="138" t="n">
        <v>50000</v>
      </c>
      <c r="J5" t="inlineStr">
        <is>
          <t>5 @ 10.000</t>
        </is>
      </c>
    </row>
    <row r="6">
      <c r="A6" t="inlineStr">
        <is>
          <t>08-ene</t>
        </is>
      </c>
      <c r="B6" t="inlineStr">
        <is>
          <t>VENTA</t>
        </is>
      </c>
      <c r="F6" s="138" t="n">
        <v>5</v>
      </c>
      <c r="G6" s="138" t="n">
        <v>50000</v>
      </c>
      <c r="H6" s="138">
        <f>H5+N(C6)-N(F6)</f>
        <v/>
      </c>
      <c r="I6" s="138">
        <f>I5+N(E6)-N(G6)</f>
        <v/>
      </c>
      <c r="J6" t="inlineStr">
        <is>
          <t>sale 5 @ 10.000 -&gt; 0</t>
        </is>
      </c>
    </row>
    <row r="7">
      <c r="A7" t="inlineStr">
        <is>
          <t>09-ene</t>
        </is>
      </c>
      <c r="B7" t="inlineStr">
        <is>
          <t>COMPRA</t>
        </is>
      </c>
      <c r="C7" s="138" t="n">
        <v>40</v>
      </c>
      <c r="D7" s="138" t="n">
        <v>11000</v>
      </c>
      <c r="E7" s="138" t="n">
        <v>440000</v>
      </c>
      <c r="H7" s="138">
        <f>H6+N(C7)-N(F7)</f>
        <v/>
      </c>
      <c r="I7" s="138">
        <f>I6+N(E7)-N(G7)</f>
        <v/>
      </c>
      <c r="J7" t="inlineStr">
        <is>
          <t>40 @ 11.000</t>
        </is>
      </c>
    </row>
    <row r="8">
      <c r="A8" t="inlineStr">
        <is>
          <t>14-feb</t>
        </is>
      </c>
      <c r="B8" t="inlineStr">
        <is>
          <t>VENTA</t>
        </is>
      </c>
      <c r="F8" s="138" t="n">
        <v>15</v>
      </c>
      <c r="G8" s="138" t="n">
        <v>165000</v>
      </c>
      <c r="H8" s="138">
        <f>H7+N(C8)-N(F8)</f>
        <v/>
      </c>
      <c r="I8" s="138">
        <f>I7+N(E8)-N(G8)</f>
        <v/>
      </c>
      <c r="J8" t="inlineStr">
        <is>
          <t>sale 15 @ 11.000 -&gt; 25 @ 11.000</t>
        </is>
      </c>
    </row>
    <row r="9">
      <c r="A9" t="inlineStr">
        <is>
          <t>15-mar</t>
        </is>
      </c>
      <c r="B9" t="inlineStr">
        <is>
          <t>COMPRA</t>
        </is>
      </c>
      <c r="C9" s="138" t="n">
        <v>20</v>
      </c>
      <c r="D9" s="138" t="n">
        <v>12000</v>
      </c>
      <c r="E9" s="138" t="n">
        <v>240000</v>
      </c>
      <c r="H9" s="138">
        <f>H8+N(C9)-N(F9)</f>
        <v/>
      </c>
      <c r="I9" s="138">
        <f>I8+N(E9)-N(G9)</f>
        <v/>
      </c>
      <c r="J9" t="inlineStr">
        <is>
          <t>25 @ 11.000 + 20 @ 12.000</t>
        </is>
      </c>
    </row>
    <row r="10">
      <c r="A10" t="inlineStr">
        <is>
          <t>31-mar</t>
        </is>
      </c>
      <c r="B10" t="inlineStr">
        <is>
          <t>VENTA</t>
        </is>
      </c>
      <c r="F10" s="138" t="n">
        <v>5</v>
      </c>
      <c r="G10" s="138" t="n">
        <v>55000</v>
      </c>
      <c r="H10" s="138">
        <f>H9+N(C10)-N(F10)</f>
        <v/>
      </c>
      <c r="I10" s="138">
        <f>I9+N(E10)-N(G10)</f>
        <v/>
      </c>
      <c r="J10" t="inlineStr">
        <is>
          <t>sale 5 @ 11.000 -&gt; 20 @ 11.000 + 20 @ 12.000</t>
        </is>
      </c>
    </row>
    <row r="11">
      <c r="A11" t="inlineStr">
        <is>
          <t>30-abr</t>
        </is>
      </c>
      <c r="B11" t="inlineStr">
        <is>
          <t>VENTA</t>
        </is>
      </c>
      <c r="F11" s="138" t="n">
        <v>5</v>
      </c>
      <c r="G11" s="138" t="n">
        <v>55000</v>
      </c>
      <c r="H11" s="138">
        <f>H10+N(C11)-N(F11)</f>
        <v/>
      </c>
      <c r="I11" s="138">
        <f>I10+N(E11)-N(G11)</f>
        <v/>
      </c>
      <c r="J11" t="inlineStr">
        <is>
          <t>sale 5 @ 11.000 -&gt; 15 @ 11.000 + 20 @ 12.000</t>
        </is>
      </c>
    </row>
    <row r="12">
      <c r="A12" t="inlineStr">
        <is>
          <t>30-jun</t>
        </is>
      </c>
      <c r="B12" t="inlineStr">
        <is>
          <t>VENTA</t>
        </is>
      </c>
      <c r="F12" s="138" t="n">
        <v>5</v>
      </c>
      <c r="G12" s="138" t="n">
        <v>55000</v>
      </c>
      <c r="H12" s="138">
        <f>H11+N(C12)-N(F12)</f>
        <v/>
      </c>
      <c r="I12" s="138">
        <f>I11+N(E12)-N(G12)</f>
        <v/>
      </c>
      <c r="J12" t="inlineStr">
        <is>
          <t>sale 5 @ 11.000 -&gt; 10 @ 11.000 + 20 @ 12.000</t>
        </is>
      </c>
    </row>
    <row r="13">
      <c r="A13" t="inlineStr">
        <is>
          <t>31-dic</t>
        </is>
      </c>
      <c r="B13" t="inlineStr">
        <is>
          <t>VENTA</t>
        </is>
      </c>
      <c r="F13" s="138" t="n">
        <v>10</v>
      </c>
      <c r="G13" s="138" t="n">
        <v>110000</v>
      </c>
      <c r="H13" s="138">
        <f>H12+N(C13)-N(F13)</f>
        <v/>
      </c>
      <c r="I13" s="138">
        <f>I12+N(E13)-N(G13)</f>
        <v/>
      </c>
      <c r="J13" t="inlineStr">
        <is>
          <t>sale 10 @ 11.000 -&gt; 20 @ 12.000</t>
        </is>
      </c>
    </row>
    <row r="14">
      <c r="A14" t="inlineStr">
        <is>
          <t>31-dic</t>
        </is>
      </c>
      <c r="B14" t="inlineStr">
        <is>
          <t>COMPRA</t>
        </is>
      </c>
      <c r="C14" s="138" t="n">
        <v>20</v>
      </c>
      <c r="D14" s="138" t="n">
        <v>15000</v>
      </c>
      <c r="E14" s="138" t="n">
        <v>300000</v>
      </c>
      <c r="H14" s="138">
        <f>H13+N(C14)-N(F14)</f>
        <v/>
      </c>
      <c r="I14" s="138">
        <f>I13+N(E14)-N(G14)</f>
        <v/>
      </c>
      <c r="J14" t="inlineStr">
        <is>
          <t>20 @ 12.000 + 20 @ 15.000</t>
        </is>
      </c>
    </row>
    <row r="16">
      <c r="A16" s="137" t="inlineStr">
        <is>
          <t>Saldo teorico al 31/12</t>
        </is>
      </c>
      <c r="H16" s="143">
        <f>H14</f>
        <v/>
      </c>
      <c r="I16" s="143">
        <f>I14</f>
        <v/>
      </c>
    </row>
    <row r="17">
      <c r="A17" t="inlineStr">
        <is>
          <t>Recuento fisico (uds)</t>
        </is>
      </c>
      <c r="H17" s="138" t="n">
        <v>39</v>
      </c>
    </row>
    <row r="18">
      <c r="A18" t="inlineStr">
        <is>
          <t>Diferencia de stock (uds)  faltante</t>
        </is>
      </c>
      <c r="H18" s="138">
        <f>H16-H17</f>
        <v/>
      </c>
    </row>
    <row r="19">
      <c r="A19" t="inlineStr">
        <is>
          <t>Valuacion de la diferencia: 1 ud. de la capa mas antigua (FIFO) @ 12.000</t>
        </is>
      </c>
      <c r="I19" s="140">
        <f>H18*12000</f>
        <v/>
      </c>
    </row>
    <row r="21">
      <c r="A21" s="137" t="inlineStr">
        <is>
          <t>Inventario final (19 @ 12.000 + 20 @ 15.000)</t>
        </is>
      </c>
      <c r="I21" s="140">
        <f>I16-I19</f>
        <v/>
      </c>
    </row>
    <row r="22">
      <c r="A22" t="inlineStr">
        <is>
          <t>Inventario inicial</t>
        </is>
      </c>
      <c r="I22" s="138">
        <f>I5</f>
        <v/>
      </c>
    </row>
    <row r="23">
      <c r="A23" s="137" t="inlineStr">
        <is>
          <t>Costo de ventas 2025 (suma de salidas)</t>
        </is>
      </c>
      <c r="I23" s="140">
        <f>SUM(G5:G14)</f>
        <v/>
      </c>
    </row>
    <row r="24">
      <c r="A24" t="inlineStr">
        <is>
          <t>Control: inv. inicial + compras - costo ventas - dif. stock</t>
        </is>
      </c>
      <c r="I24" s="138">
        <f>I22+SUM(E5:E14)-I23-I19-I21</f>
        <v/>
      </c>
    </row>
    <row r="26">
      <c r="A26" t="inlineStr">
        <is>
          <t>Unidades vendidas 2025</t>
        </is>
      </c>
      <c r="H26" s="138">
        <f>SUM(F5:F14)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135" t="inlineStr">
        <is>
          <t>d) Prestamos, intereses a pagar / perdidos / perdidos a vencer</t>
        </is>
      </c>
    </row>
    <row r="3">
      <c r="A3" s="137" t="inlineStr">
        <is>
          <t>Prestamo 1: $1.000.000 al 01/07/2024, 24% anual lineal sobre saldos = 12% semestral, 4 cuotas semestrales de capital 250.000</t>
        </is>
      </c>
    </row>
    <row r="4">
      <c r="A4" s="144" t="inlineStr">
        <is>
          <t>Vencimiento</t>
        </is>
      </c>
      <c r="B4" s="144" t="inlineStr">
        <is>
          <t>Capital</t>
        </is>
      </c>
      <c r="C4" s="144" t="inlineStr">
        <is>
          <t>Interes</t>
        </is>
      </c>
      <c r="D4" s="144" t="inlineStr">
        <is>
          <t>Cuota</t>
        </is>
      </c>
      <c r="E4" s="144" t="inlineStr">
        <is>
          <t>Saldo capital luego</t>
        </is>
      </c>
    </row>
    <row r="5">
      <c r="A5" t="inlineStr">
        <is>
          <t>Saldo inicial 01/07/2024</t>
        </is>
      </c>
      <c r="E5" s="138" t="n">
        <v>1000000</v>
      </c>
    </row>
    <row r="6">
      <c r="A6" t="inlineStr">
        <is>
          <t>31/12/2024</t>
        </is>
      </c>
      <c r="B6" s="138" t="n">
        <v>250000</v>
      </c>
      <c r="C6" s="138">
        <f>E5*0.24/2</f>
        <v/>
      </c>
      <c r="D6" s="138">
        <f>B6+C6</f>
        <v/>
      </c>
      <c r="E6" s="138">
        <f>E5-B6</f>
        <v/>
      </c>
    </row>
    <row r="7">
      <c r="A7" t="inlineStr">
        <is>
          <t>30/06/2025</t>
        </is>
      </c>
      <c r="B7" s="138" t="n">
        <v>250000</v>
      </c>
      <c r="C7" s="138">
        <f>E6*0.24/2</f>
        <v/>
      </c>
      <c r="D7" s="138">
        <f>B7+C7</f>
        <v/>
      </c>
      <c r="E7" s="138">
        <f>E6-B7</f>
        <v/>
      </c>
    </row>
    <row r="8">
      <c r="A8" t="inlineStr">
        <is>
          <t>31/12/2025</t>
        </is>
      </c>
      <c r="B8" s="138" t="n">
        <v>250000</v>
      </c>
      <c r="C8" s="138">
        <f>E7*0.24/2</f>
        <v/>
      </c>
      <c r="D8" s="138">
        <f>B8+C8</f>
        <v/>
      </c>
      <c r="E8" s="138">
        <f>E7-B8</f>
        <v/>
      </c>
    </row>
    <row r="9">
      <c r="A9" t="inlineStr">
        <is>
          <t>30/06/2026</t>
        </is>
      </c>
      <c r="B9" s="138" t="n">
        <v>250000</v>
      </c>
      <c r="C9" s="138">
        <f>E8*0.24/2</f>
        <v/>
      </c>
      <c r="D9" s="138">
        <f>B9+C9</f>
        <v/>
      </c>
      <c r="E9" s="138">
        <f>E8-B9</f>
        <v/>
      </c>
    </row>
    <row r="10">
      <c r="A10" s="137" t="inlineStr">
        <is>
          <t>Total</t>
        </is>
      </c>
      <c r="B10" s="143">
        <f>SUM(B6:B9)</f>
        <v/>
      </c>
      <c r="C10" s="143">
        <f>SUM(C6:C9)</f>
        <v/>
      </c>
      <c r="D10" s="143">
        <f>SUM(D6:D9)</f>
        <v/>
      </c>
    </row>
    <row r="12">
      <c r="A12" s="137" t="inlineStr">
        <is>
          <t>Saldos (metodo bruto: Int. a pagar = intereses nominales futuros; Int. perdidos a vencer = mismo importe, regularizadora)</t>
        </is>
      </c>
    </row>
    <row r="13">
      <c r="B13" s="137" t="inlineStr">
        <is>
          <t>31/12/2024</t>
        </is>
      </c>
      <c r="C13" s="137" t="inlineStr">
        <is>
          <t>31/12/2025</t>
        </is>
      </c>
    </row>
    <row r="14">
      <c r="A14" t="inlineStr">
        <is>
          <t>Prestamos a pagar (capital exigible en 12 meses)</t>
        </is>
      </c>
      <c r="B14" s="138">
        <f>B7+B8</f>
        <v/>
      </c>
      <c r="C14" s="138">
        <f>B9</f>
        <v/>
      </c>
    </row>
    <row r="15">
      <c r="A15" t="inlineStr">
        <is>
          <t>Prestamo a largo plazo</t>
        </is>
      </c>
      <c r="B15" s="138">
        <f>B9</f>
        <v/>
      </c>
      <c r="C15" s="138" t="n">
        <v>300000</v>
      </c>
      <c r="F15" t="inlineStr">
        <is>
          <t>2024: cuota 30/06/26 (dato ESF=250.000). 2025: Prestamo 2 sin interes, vto 30/06/27</t>
        </is>
      </c>
    </row>
    <row r="16">
      <c r="A16" t="inlineStr">
        <is>
          <t>Intereses a pagar (nominal, cuotas futuras)</t>
        </is>
      </c>
      <c r="B16" s="138">
        <f>C7+C8+C9</f>
        <v/>
      </c>
      <c r="C16" s="138">
        <f>C9</f>
        <v/>
      </c>
    </row>
    <row r="17">
      <c r="A17" t="inlineStr">
        <is>
          <t>Intereses perdidos a vencer (regularizadora)</t>
        </is>
      </c>
      <c r="B17" s="138">
        <f>-B16</f>
        <v/>
      </c>
      <c r="C17" s="138">
        <f>-C16</f>
        <v/>
      </c>
    </row>
    <row r="19">
      <c r="A19" s="137" t="inlineStr">
        <is>
          <t>Intereses perdidos 2025 (devengados)</t>
        </is>
      </c>
      <c r="B19" s="140">
        <f>C7+C8</f>
        <v/>
      </c>
      <c r="F19" t="inlineStr">
        <is>
          <t>01-06/2025: 750.000 x 12% + 07-12/2025: 500.000 x 12%</t>
        </is>
      </c>
    </row>
    <row r="20">
      <c r="A20" t="inlineStr">
        <is>
          <t>Intereses pagados 2025 (cuotas 30/06 y 31/12)</t>
        </is>
      </c>
      <c r="B20" s="138">
        <f>C7+C8</f>
        <v/>
      </c>
    </row>
    <row r="22">
      <c r="A22" t="inlineStr">
        <is>
          <t>Prestamo 2: $300.000 al 30/06/2025, sin interes, cuota unica 30/06/2027 (financia 50% de la maquina)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135" t="inlineStr">
        <is>
          <t>e) Propiedad, planta y equipo</t>
        </is>
      </c>
    </row>
    <row r="4">
      <c r="A4" s="144" t="inlineStr">
        <is>
          <t>Bien</t>
        </is>
      </c>
      <c r="B4" s="144" t="inlineStr">
        <is>
          <t>Costo</t>
        </is>
      </c>
      <c r="C4" s="144" t="inlineStr">
        <is>
          <t>Vida util (a)</t>
        </is>
      </c>
      <c r="D4" s="144" t="inlineStr">
        <is>
          <t>Amort. anual</t>
        </is>
      </c>
      <c r="E4" s="144" t="inlineStr">
        <is>
          <t>Amort. ac. 01/01/25</t>
        </is>
      </c>
      <c r="F4" s="144" t="inlineStr">
        <is>
          <t>Amort. 2025</t>
        </is>
      </c>
      <c r="G4" s="144" t="inlineStr">
        <is>
          <t>Observaciones</t>
        </is>
      </c>
    </row>
    <row r="5">
      <c r="A5" t="inlineStr">
        <is>
          <t>Inmueble - edificio (80%)</t>
        </is>
      </c>
      <c r="B5" s="138">
        <f>2000000*0.8</f>
        <v/>
      </c>
      <c r="C5" s="138" t="n">
        <v>50</v>
      </c>
      <c r="D5" s="138">
        <f>B5/C5</f>
        <v/>
      </c>
      <c r="E5" s="138">
        <f>D5*6</f>
        <v/>
      </c>
      <c r="F5" s="138">
        <f>D5</f>
        <v/>
      </c>
      <c r="G5" t="inlineStr">
        <is>
          <t>Aporte inicial 2.000.000 (01/01/2019). Amortiza desde incorporacion: 6 anios a 01/01/25</t>
        </is>
      </c>
    </row>
    <row r="6">
      <c r="A6" t="inlineStr">
        <is>
          <t>Inmueble - terreno (20%, no se amortiza)</t>
        </is>
      </c>
      <c r="B6" s="138">
        <f>2000000*0.2</f>
        <v/>
      </c>
      <c r="E6" s="138" t="n">
        <v>0</v>
      </c>
      <c r="F6" s="138" t="n">
        <v>0</v>
      </c>
    </row>
    <row r="7">
      <c r="A7" t="inlineStr">
        <is>
          <t>Equipos de computacion</t>
        </is>
      </c>
      <c r="B7" s="138" t="n">
        <v>100000</v>
      </c>
      <c r="C7" s="138" t="n">
        <v>5</v>
      </c>
      <c r="D7" s="138">
        <f>B7/C7</f>
        <v/>
      </c>
      <c r="E7" s="138">
        <f>D7*6/12</f>
        <v/>
      </c>
      <c r="F7" s="138">
        <f>D7*9/12</f>
        <v/>
      </c>
      <c r="G7" t="inlineStr">
        <is>
          <t>Comprados 30/06/24 (6 meses en 2024). Vendidos 30/09/25 (9 meses en 2025)</t>
        </is>
      </c>
    </row>
    <row r="8">
      <c r="A8" t="inlineStr">
        <is>
          <t>Maquina (30/06/2025)</t>
        </is>
      </c>
      <c r="B8" s="138">
        <f>300000*2</f>
        <v/>
      </c>
      <c r="C8" s="138" t="n">
        <v>10</v>
      </c>
      <c r="D8" s="138">
        <f>B8/C8</f>
        <v/>
      </c>
      <c r="E8" s="138" t="n">
        <v>0</v>
      </c>
      <c r="F8" s="138">
        <f>D8*6/12</f>
        <v/>
      </c>
      <c r="G8" t="inlineStr">
        <is>
          <t>Mitad efectivo + mitad prestamo 300.000 =&gt; precio 600.000</t>
        </is>
      </c>
    </row>
    <row r="9">
      <c r="A9" t="inlineStr">
        <is>
          <t>Vehiculo (aporte en especie 31/12/2025)</t>
        </is>
      </c>
      <c r="B9" s="138" t="n">
        <v>200000</v>
      </c>
      <c r="E9" s="138" t="n">
        <v>0</v>
      </c>
      <c r="F9" s="138" t="n">
        <v>0</v>
      </c>
      <c r="G9" t="inlineStr">
        <is>
          <t>Incorporado el ultimo dia: sin amortizacion en 2025</t>
        </is>
      </c>
    </row>
    <row r="11">
      <c r="A11" s="137" t="inlineStr">
        <is>
          <t>Amortizaciones 2025 (Estado de Resultados)</t>
        </is>
      </c>
      <c r="F11" s="140">
        <f>F5+F7+F8+F9</f>
        <v/>
      </c>
    </row>
    <row r="13">
      <c r="A13" s="137" t="inlineStr">
        <is>
          <t>Baja de equipos de computacion 30/09/2025</t>
        </is>
      </c>
    </row>
    <row r="14">
      <c r="A14" t="inlineStr">
        <is>
          <t>Costo</t>
        </is>
      </c>
      <c r="B14" s="138">
        <f>B7</f>
        <v/>
      </c>
    </row>
    <row r="15">
      <c r="A15" t="inlineStr">
        <is>
          <t>Amortizacion acumulada a la baja</t>
        </is>
      </c>
      <c r="B15" s="138">
        <f>E7+F7</f>
        <v/>
      </c>
    </row>
    <row r="16">
      <c r="A16" t="inlineStr">
        <is>
          <t>Valor neto contable</t>
        </is>
      </c>
      <c r="B16" s="138">
        <f>B14-B15</f>
        <v/>
      </c>
    </row>
    <row r="17">
      <c r="A17" t="inlineStr">
        <is>
          <t>Precio de venta (3 cuotas de 50.000 cobradas)</t>
        </is>
      </c>
      <c r="B17" s="138" t="n">
        <v>150000</v>
      </c>
    </row>
    <row r="18">
      <c r="A18" s="137" t="inlineStr">
        <is>
          <t>Resultado por venta de PPE (ganancia)</t>
        </is>
      </c>
      <c r="B18" s="140">
        <f>B17-B16</f>
        <v/>
      </c>
    </row>
    <row r="20">
      <c r="A20" s="137" t="inlineStr">
        <is>
          <t>Saldos</t>
        </is>
      </c>
      <c r="B20" s="137" t="inlineStr">
        <is>
          <t>31/12/2024</t>
        </is>
      </c>
      <c r="C20" s="137" t="inlineStr">
        <is>
          <t>31/12/2025</t>
        </is>
      </c>
    </row>
    <row r="21">
      <c r="A21" t="inlineStr">
        <is>
          <t>PPE (costo)</t>
        </is>
      </c>
      <c r="B21" s="138">
        <f>B5+B6+B7</f>
        <v/>
      </c>
      <c r="C21" s="138">
        <f>B5+B6+B8+B9</f>
        <v/>
      </c>
    </row>
    <row r="22">
      <c r="A22" t="inlineStr">
        <is>
          <t>Amortizaciones acumuladas</t>
        </is>
      </c>
      <c r="B22" s="138">
        <f>-(E5+E7)</f>
        <v/>
      </c>
      <c r="C22" s="138">
        <f>-(E5+F5+F8)</f>
        <v/>
      </c>
    </row>
    <row r="24">
      <c r="A24" t="inlineStr">
        <is>
          <t>Sensibilidad: si el inmueble se amortizara desde 2015 (10 anios) la amort. acumulada sube 128.000; el resultado 2025 no cambia.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0" customWidth="1" min="3" max="3"/>
  </cols>
  <sheetData>
    <row r="1">
      <c r="A1" s="135" t="inlineStr">
        <is>
          <t>f) Seguro contra incendio del inmueble</t>
        </is>
      </c>
    </row>
    <row r="3">
      <c r="A3" t="inlineStr">
        <is>
          <t>Prima total</t>
        </is>
      </c>
      <c r="B3" s="138" t="n">
        <v>48000</v>
      </c>
    </row>
    <row r="4">
      <c r="A4" t="inlineStr">
        <is>
          <t>Pagado al contratar</t>
        </is>
      </c>
      <c r="B4" s="138" t="n">
        <v>18000</v>
      </c>
    </row>
    <row r="5">
      <c r="A5" t="inlineStr">
        <is>
          <t>Saldo impago 31/12/2025 = Seguros a pagar</t>
        </is>
      </c>
      <c r="B5" s="140">
        <f>B3-B4</f>
        <v/>
      </c>
    </row>
    <row r="6">
      <c r="A6" t="inlineStr">
        <is>
          <t>Vigencia (meses) / meses transcurridos al 31/12/25</t>
        </is>
      </c>
      <c r="B6" s="138" t="n">
        <v>12</v>
      </c>
      <c r="C6" s="138" t="n">
        <v>5</v>
      </c>
    </row>
    <row r="8">
      <c r="A8" s="137" t="inlineStr">
        <is>
          <t>Seguros (gasto 2025) = 48.000 x 5/12</t>
        </is>
      </c>
      <c r="B8" s="140">
        <f>B3*C6/B6</f>
        <v/>
      </c>
    </row>
    <row r="9">
      <c r="A9" t="inlineStr">
        <is>
          <t>Diferido a 31/12 (7 meses)</t>
        </is>
      </c>
      <c r="B9" s="138">
        <f>B3-B8</f>
        <v/>
      </c>
    </row>
    <row r="10">
      <c r="A10" s="137" t="inlineStr">
        <is>
          <t xml:space="preserve">  Parte pagada (18.000): Seguros pagos x adelantado</t>
        </is>
      </c>
      <c r="B10" s="140">
        <f>ROUND(B4*(1-C6/B6),0)</f>
        <v/>
      </c>
    </row>
    <row r="11">
      <c r="A11" s="137" t="inlineStr">
        <is>
          <t xml:space="preserve">  Parte financiada (30.000): Seguros perdidos a vencer (regularizadora del pasivo)</t>
        </is>
      </c>
      <c r="B11" s="140">
        <f>-ROUND(B5*(1-C6/B6),0)</f>
        <v/>
      </c>
    </row>
    <row r="12">
      <c r="A12" t="inlineStr">
        <is>
          <t>Control: gasto + diferido = prima</t>
        </is>
      </c>
      <c r="B12" s="138">
        <f>B8+B10-B11-B3</f>
        <v/>
      </c>
    </row>
    <row r="14">
      <c r="A14" t="inlineStr">
        <is>
          <t>Criterio: la prima se reparte en proporcion a lo pagado y a lo financiado (mismo tratamiento que los intereses a vencer).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4" customWidth="1" min="1" max="1"/>
    <col width="16" customWidth="1" min="2" max="2"/>
    <col width="44" customWidth="1" min="3" max="3"/>
  </cols>
  <sheetData>
    <row r="1">
      <c r="A1" s="135" t="inlineStr">
        <is>
          <t>g) Cuentas patrimoniales y distribucion de resultados</t>
        </is>
      </c>
    </row>
    <row r="3">
      <c r="A3" t="inlineStr">
        <is>
          <t>Resultado 2024 a distribuir (Asamblea 30/06/2025)</t>
        </is>
      </c>
      <c r="B3" s="138" t="n">
        <v>800000</v>
      </c>
    </row>
    <row r="4">
      <c r="A4" s="137" t="inlineStr">
        <is>
          <t>Reserva legal = 5% de las ganancias liquidas del ejercicio (art. 93 Ley 16.060)</t>
        </is>
      </c>
      <c r="B4" s="140">
        <f>B3*0.05</f>
        <v/>
      </c>
      <c r="C4" t="inlineStr">
        <is>
          <t>Tope 20% del capital: 15.000+40.000 &lt;&lt; 520.000</t>
        </is>
      </c>
    </row>
    <row r="5">
      <c r="A5" t="inlineStr">
        <is>
          <t>Dividendos en acciones (a capitalizar)</t>
        </is>
      </c>
      <c r="B5" s="138" t="n">
        <v>400000</v>
      </c>
    </row>
    <row r="6">
      <c r="A6" t="inlineStr">
        <is>
          <t>Dividendos en efectivo (pagados en 2025)</t>
        </is>
      </c>
      <c r="B6" s="138" t="n">
        <v>200000</v>
      </c>
    </row>
    <row r="7">
      <c r="A7" s="137" t="inlineStr">
        <is>
          <t>Remanente que queda en Resultados acumulados</t>
        </is>
      </c>
      <c r="B7" s="140">
        <f>B3-B4-B5-B6</f>
        <v/>
      </c>
    </row>
    <row r="9">
      <c r="A9" s="137" t="inlineStr">
        <is>
          <t>Capital (integrado) y aportes a capitalizar</t>
        </is>
      </c>
    </row>
    <row r="10">
      <c r="A10" t="inlineStr">
        <is>
          <t>Capital integrado 31/12/2024</t>
        </is>
      </c>
      <c r="B10" s="138" t="n">
        <v>2600000</v>
      </c>
    </row>
    <row r="11">
      <c r="A11" t="inlineStr">
        <is>
          <t>Aportes a capitalizar 31/12/2024</t>
        </is>
      </c>
      <c r="B11" s="138" t="n">
        <v>400000</v>
      </c>
    </row>
    <row r="12">
      <c r="A12" t="inlineStr">
        <is>
          <t>Aporte en efectivo 31/10/2025</t>
        </is>
      </c>
      <c r="B12" s="138" t="n">
        <v>800000</v>
      </c>
      <c r="C12" t="inlineStr">
        <is>
          <t>Completa la ampliacion 2.6M-&gt;3.8M: 400.000 + 800.000 = 1.200.000</t>
        </is>
      </c>
    </row>
    <row r="13">
      <c r="A13" s="137" t="inlineStr">
        <is>
          <t>Capital integrado 31/12/2025 (= capital contractual)</t>
        </is>
      </c>
      <c r="B13" s="140">
        <f>B10+B11+B12</f>
        <v/>
      </c>
    </row>
    <row r="14">
      <c r="A14" s="137" t="inlineStr">
        <is>
          <t>Aportes a capitalizar 31/12/2025 = div. en acciones 400.000 + vehiculo 200.000</t>
        </is>
      </c>
      <c r="B14" s="140">
        <f>B5+200000</f>
        <v/>
      </c>
    </row>
    <row r="16">
      <c r="A16" s="137" t="inlineStr">
        <is>
          <t>Pedido 2 b) - ampliacion minima del capital contractual</t>
        </is>
      </c>
    </row>
    <row r="17">
      <c r="A17" t="inlineStr">
        <is>
          <t>Capital contractual vigente</t>
        </is>
      </c>
      <c r="B17" s="138" t="n">
        <v>3800000</v>
      </c>
    </row>
    <row r="18">
      <c r="A18" t="inlineStr">
        <is>
          <t>Capital integrado + aportes a capitalizar</t>
        </is>
      </c>
      <c r="B18" s="138">
        <f>B13+B14</f>
        <v/>
      </c>
    </row>
    <row r="19">
      <c r="A19" s="137" t="inlineStr">
        <is>
          <t>Ampliacion minima requerida</t>
        </is>
      </c>
      <c r="B19" s="140">
        <f>B18-B17</f>
        <v/>
      </c>
    </row>
    <row r="21">
      <c r="A21" s="137" t="inlineStr">
        <is>
          <t>Pedido 2 a) - hipotesis alternativa (distribuir la totalidad de los resultados)</t>
        </is>
      </c>
    </row>
    <row r="22">
      <c r="A22" t="inlineStr">
        <is>
          <t>Resultados a distribuir</t>
        </is>
      </c>
      <c r="B22" s="138">
        <f>B3</f>
        <v/>
      </c>
    </row>
    <row r="23">
      <c r="A23" t="inlineStr">
        <is>
          <t>Reserva legal 5%</t>
        </is>
      </c>
      <c r="B23" s="138">
        <f>B22*0.05</f>
        <v/>
      </c>
    </row>
    <row r="24">
      <c r="A24" t="inlineStr">
        <is>
          <t>Remanente</t>
        </is>
      </c>
      <c r="B24" s="138">
        <f>B22-B23</f>
        <v/>
      </c>
    </row>
    <row r="25">
      <c r="A25" t="inlineStr">
        <is>
          <t xml:space="preserve">  50% dividendos en acciones</t>
        </is>
      </c>
      <c r="B25" s="138">
        <f>B24*0.5</f>
        <v/>
      </c>
    </row>
    <row r="26">
      <c r="A26" t="inlineStr">
        <is>
          <t xml:space="preserve">  50% dividendos en efectivo</t>
        </is>
      </c>
      <c r="B26" s="138">
        <f>B24*0.5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4" customWidth="1" min="3" max="3"/>
    <col width="14" customWidth="1" min="4" max="4"/>
    <col width="58" customWidth="1" min="5" max="5"/>
  </cols>
  <sheetData>
    <row r="1">
      <c r="A1" s="135" t="inlineStr">
        <is>
          <t>Libro diario: arqueo, conciliacion bancaria y pedido 2 a)</t>
        </is>
      </c>
    </row>
    <row r="3">
      <c r="A3" s="144" t="inlineStr">
        <is>
          <t>Fecha</t>
        </is>
      </c>
      <c r="B3" s="144" t="inlineStr">
        <is>
          <t>Cuenta</t>
        </is>
      </c>
      <c r="C3" s="144" t="inlineStr">
        <is>
          <t>Debe</t>
        </is>
      </c>
      <c r="D3" s="144" t="inlineStr">
        <is>
          <t>Haber</t>
        </is>
      </c>
      <c r="E3" s="144" t="inlineStr">
        <is>
          <t>Glosa</t>
        </is>
      </c>
    </row>
    <row r="4">
      <c r="A4" t="inlineStr">
        <is>
          <t>31/12/2025</t>
        </is>
      </c>
      <c r="B4" t="inlineStr">
        <is>
          <t>Caja</t>
        </is>
      </c>
      <c r="C4" s="138" t="n">
        <v>34000</v>
      </c>
      <c r="E4" t="inlineStr">
        <is>
          <t>Boleta de venta contado no registrada</t>
        </is>
      </c>
    </row>
    <row r="5">
      <c r="B5" t="inlineStr">
        <is>
          <t xml:space="preserve">   Ventas</t>
        </is>
      </c>
      <c r="D5" s="138" t="n">
        <v>34000</v>
      </c>
    </row>
    <row r="7">
      <c r="A7" t="inlineStr">
        <is>
          <t>31/12/2025</t>
        </is>
      </c>
      <c r="B7" t="inlineStr">
        <is>
          <t>Caja</t>
        </is>
      </c>
      <c r="C7" s="138" t="n">
        <v>43000</v>
      </c>
      <c r="E7" t="inlineStr">
        <is>
          <t>Cobranza con cheque del dia (recibo)</t>
        </is>
      </c>
    </row>
    <row r="8">
      <c r="B8" t="inlineStr">
        <is>
          <t xml:space="preserve">   Deudores por ventas</t>
        </is>
      </c>
      <c r="D8" s="138" t="n">
        <v>43000</v>
      </c>
    </row>
    <row r="10">
      <c r="A10" t="inlineStr">
        <is>
          <t>31/12/2025</t>
        </is>
      </c>
      <c r="B10" t="inlineStr">
        <is>
          <t>Acreedores por compras locales</t>
        </is>
      </c>
      <c r="C10" s="138" t="n">
        <v>1100</v>
      </c>
      <c r="E10" t="inlineStr">
        <is>
          <t>Pago contado a proveedor</t>
        </is>
      </c>
    </row>
    <row r="11">
      <c r="B11" t="inlineStr">
        <is>
          <t xml:space="preserve">   Caja</t>
        </is>
      </c>
      <c r="D11" s="138" t="n">
        <v>1100</v>
      </c>
    </row>
    <row r="13">
      <c r="A13" t="inlineStr">
        <is>
          <t>31/12/2025</t>
        </is>
      </c>
      <c r="B13" t="inlineStr">
        <is>
          <t>Acreedores por compras locales</t>
        </is>
      </c>
      <c r="C13" s="138" t="n">
        <v>42500</v>
      </c>
      <c r="E13" t="inlineStr">
        <is>
          <t>Pago a proveedor en efectivo</t>
        </is>
      </c>
    </row>
    <row r="14">
      <c r="B14" t="inlineStr">
        <is>
          <t xml:space="preserve">   Caja</t>
        </is>
      </c>
      <c r="D14" s="138" t="n">
        <v>42500</v>
      </c>
    </row>
    <row r="16">
      <c r="A16" t="inlineStr">
        <is>
          <t>31/12/2025</t>
        </is>
      </c>
      <c r="B16" t="inlineStr">
        <is>
          <t>Faltante de caja</t>
        </is>
      </c>
      <c r="C16" s="138" t="n">
        <v>1600</v>
      </c>
      <c r="E16" t="inlineStr">
        <is>
          <t>Faltante determinado en el arqueo (75.900 contable vs 74.300 contado)</t>
        </is>
      </c>
    </row>
    <row r="17">
      <c r="B17" t="inlineStr">
        <is>
          <t xml:space="preserve">   Caja</t>
        </is>
      </c>
      <c r="D17" s="138" t="n">
        <v>1600</v>
      </c>
    </row>
    <row r="19">
      <c r="A19" t="inlineStr">
        <is>
          <t>31/12/2025</t>
        </is>
      </c>
      <c r="B19" t="inlineStr">
        <is>
          <t>Gastos de administracion y ventas</t>
        </is>
      </c>
      <c r="C19" s="138" t="n">
        <v>2500</v>
      </c>
      <c r="E19" t="inlineStr">
        <is>
          <t>Costo mantenimiento cuenta corriente (extracto)</t>
        </is>
      </c>
    </row>
    <row r="20">
      <c r="B20" t="inlineStr">
        <is>
          <t xml:space="preserve">   Banco cuenta corriente MN</t>
        </is>
      </c>
      <c r="D20" s="138" t="n">
        <v>2500</v>
      </c>
    </row>
    <row r="22">
      <c r="A22" t="inlineStr">
        <is>
          <t>31/12/2025</t>
        </is>
      </c>
      <c r="B22" t="inlineStr">
        <is>
          <t>Deudores por ventas (contrapartida original)</t>
        </is>
      </c>
      <c r="C22" s="138" t="n">
        <v>13500</v>
      </c>
      <c r="E22" t="inlineStr">
        <is>
          <t>Correccion transf. Nro 534: registrada 15.000, acreditada 1.500</t>
        </is>
      </c>
    </row>
    <row r="23">
      <c r="B23" t="inlineStr">
        <is>
          <t xml:space="preserve">   Banco cuenta corriente MN</t>
        </is>
      </c>
      <c r="D23" s="138" t="n">
        <v>13500</v>
      </c>
    </row>
    <row r="25">
      <c r="A25" t="inlineStr">
        <is>
          <t>30/06/2025</t>
        </is>
      </c>
      <c r="B25" t="inlineStr">
        <is>
          <t>Resultados acumulados (Resultado ej. 2024)</t>
        </is>
      </c>
      <c r="C25" s="138" t="n">
        <v>800000</v>
      </c>
      <c r="E25" t="inlineStr">
        <is>
          <t>Pedido 2 a) Distribucion segun hipotesis alternativa</t>
        </is>
      </c>
    </row>
    <row r="26">
      <c r="B26" t="inlineStr">
        <is>
          <t xml:space="preserve">   Reserva legal</t>
        </is>
      </c>
      <c r="D26" s="138" t="n">
        <v>40000</v>
      </c>
    </row>
    <row r="27">
      <c r="B27" t="inlineStr">
        <is>
          <t xml:space="preserve">   Aportes a capitalizar (dividendos en acciones)</t>
        </is>
      </c>
      <c r="D27" s="138" t="n">
        <v>380000</v>
      </c>
    </row>
    <row r="28">
      <c r="B28" t="inlineStr">
        <is>
          <t xml:space="preserve">   Dividendos a pagar</t>
        </is>
      </c>
      <c r="D28" s="138" t="n">
        <v>380000</v>
      </c>
    </row>
    <row r="30">
      <c r="A30" t="inlineStr">
        <is>
          <t>30/06/2025</t>
        </is>
      </c>
      <c r="B30" t="inlineStr">
        <is>
          <t>Dividendos a pagar</t>
        </is>
      </c>
      <c r="C30" s="138" t="n">
        <v>380000</v>
      </c>
      <c r="E30" t="inlineStr">
        <is>
          <t>Pedido 2 a) Pago de dividendos en efectivo</t>
        </is>
      </c>
    </row>
    <row r="31">
      <c r="B31" t="inlineStr">
        <is>
          <t xml:space="preserve">   Caja</t>
        </is>
      </c>
      <c r="D31" s="138" t="n">
        <v>380000</v>
      </c>
    </row>
    <row r="33">
      <c r="B33" t="inlineStr">
        <is>
          <t>Nota: las contrapartidas se muestran solo para cuadrar el asiento; las demas cuentas ya figuran con su saldo final en el Anexo II.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58" customWidth="1" min="4" max="4"/>
  </cols>
  <sheetData>
    <row r="1">
      <c r="A1" s="135" t="inlineStr">
        <is>
          <t>Pedido 3 - Indicadores de apoyo al analisis de inversion</t>
        </is>
      </c>
    </row>
    <row r="3">
      <c r="B3" s="144" t="inlineStr">
        <is>
          <t>2025</t>
        </is>
      </c>
      <c r="C3" s="144" t="inlineStr">
        <is>
          <t>2024</t>
        </is>
      </c>
      <c r="D3" s="144" t="inlineStr">
        <is>
          <t>Lectura</t>
        </is>
      </c>
    </row>
    <row r="4">
      <c r="A4" t="inlineStr">
        <is>
          <t>Activo corriente</t>
        </is>
      </c>
      <c r="B4" s="138">
        <f>SUM('ESF Y ER 2025 LETRA'!C7:'ESF Y ER 2025 LETRA'!C12)</f>
        <v/>
      </c>
      <c r="C4" s="138">
        <f>SUM('ESF Y ER 2025 LETRA'!D7:'ESF Y ER 2025 LETRA'!D12)</f>
        <v/>
      </c>
      <c r="D4" t="inlineStr"/>
    </row>
    <row r="5">
      <c r="A5" t="inlineStr">
        <is>
          <t>Pasivo corriente (neto de regularizadoras)</t>
        </is>
      </c>
      <c r="B5" s="138">
        <f>'ESF Y ER 2025 LETRA'!C19+'ESF Y ER 2025 LETRA'!C20+'ESF Y ER 2025 LETRA'!C21+'ESF Y ER 2025 LETRA'!C22+'ESF Y ER 2025 LETRA'!C23+'ESF Y ER 2025 LETRA'!C24+'ESF Y ER 2025 LETRA'!C26</f>
        <v/>
      </c>
      <c r="C5" s="138">
        <f>'ESF Y ER 2025 LETRA'!D19+'ESF Y ER 2025 LETRA'!D22+'ESF Y ER 2025 LETRA'!D23+'ESF Y ER 2025 LETRA'!D24+'ESF Y ER 2025 LETRA'!D26</f>
        <v/>
      </c>
      <c r="D5" t="inlineStr">
        <is>
          <t>Se considera corriente el pasivo exigible en 12 meses</t>
        </is>
      </c>
    </row>
    <row r="6">
      <c r="A6" t="inlineStr">
        <is>
          <t>Liquidez corriente</t>
        </is>
      </c>
      <c r="B6" s="145">
        <f>B4/B5</f>
        <v/>
      </c>
      <c r="C6" s="145">
        <f>C4/C5</f>
        <v/>
      </c>
      <c r="D6" t="inlineStr">
        <is>
          <t>Alta, pero 83% del AC son cuentas por cobrar</t>
        </is>
      </c>
    </row>
    <row r="7">
      <c r="A7" t="inlineStr">
        <is>
          <t>Liquidez inmediata (Caja + Banco / P. corriente)</t>
        </is>
      </c>
      <c r="B7" s="145">
        <f>('ESF Y ER 2025 LETRA'!C7+'ESF Y ER 2025 LETRA'!C8)/B5</f>
        <v/>
      </c>
      <c r="C7" s="145">
        <f>('ESF Y ER 2025 LETRA'!D7+'ESF Y ER 2025 LETRA'!D8)/C5</f>
        <v/>
      </c>
      <c r="D7" t="inlineStr">
        <is>
          <t>Baja: la caja no cubre el pasivo corriente</t>
        </is>
      </c>
    </row>
    <row r="8">
      <c r="A8" t="inlineStr">
        <is>
          <t>Endeudamiento (Pasivo / Patrimonio)</t>
        </is>
      </c>
      <c r="B8" s="145">
        <f>'ESF Y ER 2025 LETRA'!C28/'ESF Y ER 2025 LETRA'!C36</f>
        <v/>
      </c>
      <c r="C8" s="145">
        <f>'ESF Y ER 2025 LETRA'!D28/'ESF Y ER 2025 LETRA'!D36</f>
        <v/>
      </c>
      <c r="D8" t="inlineStr">
        <is>
          <t>Bajo apalancamiento</t>
        </is>
      </c>
    </row>
    <row r="9">
      <c r="A9" t="inlineStr">
        <is>
          <t>Margen bruto</t>
        </is>
      </c>
      <c r="B9" s="146">
        <f>'ESF Y ER 2025 LETRA'!C43/'ESF Y ER 2025 LETRA'!C41</f>
        <v/>
      </c>
      <c r="C9" s="146" t="n"/>
      <c r="D9" t="inlineStr">
        <is>
          <t>Muy alto: revisar precio de venta vs. costo unitario</t>
        </is>
      </c>
    </row>
    <row r="10">
      <c r="A10" t="inlineStr">
        <is>
          <t>Margen neto</t>
        </is>
      </c>
      <c r="B10" s="146">
        <f>'ESF Y ER 2025 LETRA'!C54/'ESF Y ER 2025 LETRA'!C41</f>
        <v/>
      </c>
      <c r="C10" s="146" t="n"/>
      <c r="D10" t="inlineStr"/>
    </row>
    <row r="11">
      <c r="A11" t="inlineStr">
        <is>
          <t>ROE (resultado / patrimonio final)</t>
        </is>
      </c>
      <c r="B11" s="146">
        <f>'ESF Y ER 2025 LETRA'!C54/'ESF Y ER 2025 LETRA'!C36</f>
        <v/>
      </c>
      <c r="C11" s="146">
        <f>'ESF Y ER 2025 LETRA'!D35/'ESF Y ER 2025 LETRA'!D36</f>
        <v/>
      </c>
      <c r="D11" t="inlineStr"/>
    </row>
    <row r="12">
      <c r="A12" t="inlineStr">
        <is>
          <t>Plazo de cobranza (dias) = Ds x ventas / Ventas x 365</t>
        </is>
      </c>
      <c r="B12" s="147">
        <f>'ESF Y ER 2025 LETRA'!C10/'ESF Y ER 2025 LETRA'!C41*365</f>
        <v/>
      </c>
      <c r="C12" s="147" t="n"/>
      <c r="D12" t="inlineStr">
        <is>
          <t>Deudores por ventas superan las ventas anuales</t>
        </is>
      </c>
    </row>
    <row r="13">
      <c r="A13" t="inlineStr">
        <is>
          <t>Dias de inventario = Inventario / Costo de ventas x 365</t>
        </is>
      </c>
      <c r="B13" s="147">
        <f>'ESF Y ER 2025 LETRA'!C12/-'ESF Y ER 2025 LETRA'!C42*365</f>
        <v/>
      </c>
      <c r="C13" s="147" t="n"/>
      <c r="D13" t="inlineStr">
        <is>
          <t>Inventario se multiplico por ~10</t>
        </is>
      </c>
    </row>
    <row r="14">
      <c r="A14" t="inlineStr">
        <is>
          <t>Flujo de efectivo de operaciones</t>
        </is>
      </c>
      <c r="B14" s="138">
        <f>'EFE 2025'!G20</f>
        <v/>
      </c>
      <c r="D14" t="inlineStr">
        <is>
          <t>Casi nulo frente a un resultado de 2,86 millones</t>
        </is>
      </c>
    </row>
    <row r="15">
      <c r="A15" t="inlineStr">
        <is>
          <t>Flujo operativo / Resultado del ejercicio</t>
        </is>
      </c>
      <c r="B15" s="146">
        <f>'EFE 2025'!G20/'ESF Y ER 2025 LETRA'!C54</f>
        <v/>
      </c>
      <c r="C15" s="146" t="n"/>
      <c r="D15" t="inlineStr">
        <is>
          <t>Baja conversion de resultados en caja</t>
        </is>
      </c>
    </row>
    <row r="16">
      <c r="A16" t="inlineStr">
        <is>
          <t>Cuenta directores / Activo total</t>
        </is>
      </c>
      <c r="B16" s="146">
        <f>'ESF Y ER 2025 LETRA'!C15/'ESF Y ER 2025 LETRA'!C16</f>
        <v/>
      </c>
      <c r="C16" s="146">
        <f>'ESF Y ER 2025 LETRA'!D15/'ESF Y ER 2025 LETRA'!D16</f>
        <v/>
      </c>
      <c r="D16" t="inlineStr">
        <is>
          <t>Financiamiento a partes relacionadas</t>
        </is>
      </c>
    </row>
    <row r="19">
      <c r="A19" s="137" t="inlineStr">
        <is>
          <t>Unidades vendidas por trimestre (planilla de stock)</t>
        </is>
      </c>
    </row>
    <row r="20">
      <c r="A20" t="inlineStr">
        <is>
          <t>T1 (ene-mar)</t>
        </is>
      </c>
      <c r="B20" s="138" t="n">
        <v>25</v>
      </c>
    </row>
    <row r="21">
      <c r="A21" t="inlineStr">
        <is>
          <t>T2 (abr-jun)</t>
        </is>
      </c>
      <c r="B21" s="138" t="n">
        <v>10</v>
      </c>
    </row>
    <row r="22">
      <c r="A22" t="inlineStr">
        <is>
          <t>T3 (jul-sep)</t>
        </is>
      </c>
      <c r="B22" s="138" t="n">
        <v>0</v>
      </c>
    </row>
    <row r="23">
      <c r="A23" t="inlineStr">
        <is>
          <t>T4 (oct-dic)</t>
        </is>
      </c>
      <c r="B23" s="138" t="n">
        <v>10</v>
      </c>
    </row>
    <row r="25">
      <c r="A25" t="inlineStr">
        <is>
          <t>Costo unitario de compra: 10.000 (SI) -&gt; 11.000 (ene) -&gt; 12.000 (mar) -&gt; 15.000 (dic): +50%.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2006-09-12T12:46:00Z</dcterms:created>
  <dcterms:modified xmlns:dcterms="http://purl.org/dc/terms/" xmlns:xsi="http://www.w3.org/2001/XMLSchema-instance" xsi:type="dcterms:W3CDTF">2026-09-30T14:04:51Z</dcterms:modified>
  <cp:lastModifiedBy>Luis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3FEEEFB3CDED44EABE52DD08BDDBF832_13</vt:lpwstr>
  </property>
  <property name="KSOProductBuildVer" fmtid="{D5CDD505-2E9C-101B-9397-08002B2CF9AE}" pid="3">
    <vt:lpwstr xmlns:vt="http://schemas.openxmlformats.org/officeDocument/2006/docPropsVTypes">2058-12.1.0.28485</vt:lpwstr>
  </property>
  <property name="CalculationRule" fmtid="{D5CDD505-2E9C-101B-9397-08002B2CF9AE}" pid="4">
    <vt:i4 xmlns:vt="http://schemas.openxmlformats.org/officeDocument/2006/docPropsVTypes">0</vt:i4>
  </property>
</Properties>
</file>