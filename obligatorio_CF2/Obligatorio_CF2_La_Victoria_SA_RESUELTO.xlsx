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188" windowHeight="9000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ESF Y ER 2025 LETRA" sheetId="2" state="visible" r:id="rId2"/>
    <sheet xmlns:r="http://schemas.openxmlformats.org/officeDocument/2006/relationships" name="ECP 2025" sheetId="3" state="visible" r:id="rId3"/>
    <sheet xmlns:r="http://schemas.openxmlformats.org/officeDocument/2006/relationships" name="EFE 2025" sheetId="4" state="visible" r:id="rId4"/>
    <sheet xmlns:r="http://schemas.openxmlformats.org/officeDocument/2006/relationships" name="Pedido 2" sheetId="5" state="visible" r:id="rId5"/>
    <sheet xmlns:r="http://schemas.openxmlformats.org/officeDocument/2006/relationships" name="Pedido 3 Indicadores" sheetId="6" state="visible" r:id="rId6"/>
    <sheet xmlns:r="http://schemas.openxmlformats.org/officeDocument/2006/relationships" name="Asientos" sheetId="7" state="visible" r:id="rId7"/>
    <sheet xmlns:r="http://schemas.openxmlformats.org/officeDocument/2006/relationships" name="PT a Caja y DC" sheetId="8" state="visible" r:id="rId8"/>
    <sheet xmlns:r="http://schemas.openxmlformats.org/officeDocument/2006/relationships" name="PT b Banco" sheetId="9" state="visible" r:id="rId9"/>
    <sheet xmlns:r="http://schemas.openxmlformats.org/officeDocument/2006/relationships" name="PT c Stock" sheetId="10" state="visible" r:id="rId10"/>
    <sheet xmlns:r="http://schemas.openxmlformats.org/officeDocument/2006/relationships" name="PT d Prestamos" sheetId="11" state="visible" r:id="rId11"/>
    <sheet xmlns:r="http://schemas.openxmlformats.org/officeDocument/2006/relationships" name="PT e PPE" sheetId="12" state="visible" r:id="rId12"/>
    <sheet xmlns:r="http://schemas.openxmlformats.org/officeDocument/2006/relationships" name="PT f Seguros" sheetId="13" state="visible" r:id="rId13"/>
    <sheet xmlns:r="http://schemas.openxmlformats.org/officeDocument/2006/relationships" name="PT g Patrimonio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8">
    <numFmt numFmtId="164" formatCode="_-* #,##0_-;\-* #,##0_-;_-* &quot;-&quot;??_-;_-@_-"/>
    <numFmt numFmtId="165" formatCode="_-* #,##0.00_-;\-* #,##0.00_-;_-* &quot;-&quot;??_-;_-@_-"/>
    <numFmt numFmtId="166" formatCode="_-* #,##0.00\ &quot;€&quot;_-;\-* #,##0.00\ &quot;€&quot;_-;_-* &quot;-&quot;??\ &quot;€&quot;_-;_-@_-"/>
    <numFmt numFmtId="167" formatCode="_-* #,##0_-;\-* #,##0_-;_-* &quot;-&quot;_-;_-@_-"/>
    <numFmt numFmtId="168" formatCode="_-* #,##0\ &quot;€&quot;_-;\-* #,##0\ &quot;€&quot;_-;_-* &quot;-&quot;\ &quot;€&quot;_-;_-@_-"/>
    <numFmt numFmtId="169" formatCode="#,##0;[Red]-#,##0;&quot;-&quot;"/>
    <numFmt numFmtId="170" formatCode="0.000"/>
    <numFmt numFmtId="171" formatCode="0.0%"/>
  </numFmts>
  <fonts count="50">
    <font>
      <name val="Calibri"/>
      <charset val="134"/>
      <color theme="1"/>
      <sz val="11"/>
      <scheme val="minor"/>
    </font>
    <font>
      <name val="Calibri"/>
      <charset val="134"/>
      <color theme="1"/>
      <sz val="12"/>
      <scheme val="minor"/>
    </font>
    <font>
      <name val="Calibri"/>
      <charset val="134"/>
      <b val="1"/>
      <sz val="12"/>
      <scheme val="minor"/>
    </font>
    <font>
      <name val="Calibri"/>
      <charset val="134"/>
      <sz val="12"/>
      <scheme val="minor"/>
    </font>
    <font>
      <name val="Book Antiqua"/>
      <charset val="134"/>
      <b val="1"/>
      <color indexed="8"/>
      <sz val="10"/>
    </font>
    <font>
      <name val="Book Antiqua"/>
      <charset val="134"/>
      <color theme="1"/>
      <sz val="10"/>
    </font>
    <font>
      <name val="Book Antiqua"/>
      <charset val="134"/>
      <b val="1"/>
      <sz val="10"/>
    </font>
    <font>
      <name val="Book Antiqua"/>
      <charset val="134"/>
      <sz val="10"/>
    </font>
    <font>
      <name val="Calibri"/>
      <charset val="134"/>
      <sz val="11"/>
      <scheme val="minor"/>
    </font>
    <font>
      <name val="Arial"/>
      <charset val="134"/>
      <b val="1"/>
      <i val="1"/>
      <color theme="1"/>
      <sz val="11"/>
      <u val="double"/>
    </font>
    <font>
      <name val="Arial"/>
      <charset val="134"/>
      <color theme="1"/>
      <sz val="11"/>
    </font>
    <font>
      <name val="Arial"/>
      <charset val="134"/>
      <color rgb="FF000000"/>
      <sz val="11"/>
    </font>
    <font>
      <name val="Arial"/>
      <charset val="134"/>
      <b val="1"/>
      <color rgb="FF000000"/>
      <sz val="11"/>
    </font>
    <font>
      <name val="Calibri"/>
      <charset val="134"/>
      <color rgb="FF000000"/>
      <sz val="11"/>
    </font>
    <font>
      <name val="Arial"/>
      <charset val="134"/>
      <b val="1"/>
      <color theme="1"/>
      <sz val="11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134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Arial"/>
      <charset val="134"/>
      <sz val="10"/>
    </font>
    <font>
      <b val="1"/>
    </font>
    <font>
      <b val="1"/>
      <sz val="13"/>
    </font>
    <font>
      <i val="1"/>
      <color rgb="00555555"/>
    </font>
    <font>
      <color rgb="002E75B6"/>
      <sz val="9"/>
      <u val="single"/>
    </font>
    <font>
      <color rgb="00548235"/>
      <sz val="9"/>
      <u val="single"/>
    </font>
    <font>
      <color rgb="00C00060"/>
      <sz val="9"/>
      <u val="single"/>
    </font>
    <font>
      <color rgb="00C55A11"/>
      <sz val="9"/>
      <u val="single"/>
    </font>
    <font>
      <color rgb="00BF9000"/>
      <sz val="9"/>
      <u val="single"/>
    </font>
    <font>
      <color rgb="007030A0"/>
      <sz val="9"/>
      <u val="single"/>
    </font>
    <font>
      <color rgb="001B8A7A"/>
      <sz val="9"/>
      <u val="single"/>
    </font>
    <font>
      <i val="1"/>
      <sz val="9"/>
    </font>
    <font>
      <b val="1"/>
      <sz val="14"/>
    </font>
    <font>
      <b val="1"/>
      <color rgb="00FFFFFF"/>
    </font>
    <font>
      <b val="1"/>
      <sz val="11"/>
    </font>
  </fonts>
  <fills count="57">
    <fill>
      <patternFill/>
    </fill>
    <fill>
      <patternFill patternType="gray125"/>
    </fill>
    <fill>
      <patternFill patternType="solid">
        <fgColor theme="3" tint="0.799951170384838"/>
        <bgColor indexed="64"/>
      </patternFill>
    </fill>
    <fill>
      <patternFill patternType="solid">
        <fgColor theme="6" tint="0.799951170384838"/>
        <bgColor indexed="64"/>
      </patternFill>
    </fill>
    <fill>
      <patternFill patternType="solid">
        <fgColor theme="0"/>
        <bgColor indexed="64"/>
      </patternFill>
    </fill>
    <fill>
      <patternFill patternType="darkDown">
        <fgColor rgb="FF000000"/>
      </patternFill>
    </fill>
    <fill>
      <patternFill patternType="solid">
        <fgColor rgb="FFF2F2F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9DC3E6"/>
      </patternFill>
    </fill>
    <fill>
      <patternFill patternType="solid">
        <fgColor rgb="00A9D08E"/>
      </patternFill>
    </fill>
    <fill>
      <patternFill patternType="solid">
        <fgColor rgb="00FCE4D6"/>
      </patternFill>
    </fill>
    <fill>
      <patternFill patternType="solid">
        <fgColor rgb="00F4B183"/>
      </patternFill>
    </fill>
    <fill>
      <patternFill patternType="solid">
        <fgColor rgb="00E4DFEC"/>
      </patternFill>
    </fill>
    <fill>
      <patternFill patternType="solid">
        <fgColor rgb="00B4A7D6"/>
      </patternFill>
    </fill>
    <fill>
      <patternFill patternType="solid">
        <fgColor rgb="00FFD966"/>
      </patternFill>
    </fill>
    <fill>
      <patternFill patternType="solid">
        <fgColor rgb="00F4A6C8"/>
      </patternFill>
    </fill>
    <fill>
      <patternFill patternType="solid">
        <fgColor rgb="008FD3C8"/>
      </patternFill>
    </fill>
    <fill>
      <patternFill patternType="solid">
        <fgColor rgb="00E7E6E6"/>
      </patternFill>
    </fill>
    <fill>
      <patternFill patternType="solid">
        <fgColor rgb="00FFC7CE"/>
      </patternFill>
    </fill>
    <fill>
      <patternFill patternType="solid">
        <fgColor rgb="00BFBFBF"/>
      </patternFill>
    </fill>
    <fill>
      <patternFill patternType="solid">
        <fgColor rgb="00E2EFDA"/>
      </patternFill>
    </fill>
    <fill>
      <patternFill patternType="solid">
        <fgColor rgb="00DDF3F0"/>
      </patternFill>
    </fill>
    <fill>
      <patternFill patternType="solid">
        <fgColor rgb="00404040"/>
      </patternFill>
    </fill>
    <fill>
      <patternFill patternType="solid">
        <fgColor rgb="00FCE4EF"/>
      </patternFill>
    </fill>
  </fills>
  <borders count="3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top style="thin"/>
    </border>
  </borders>
  <cellStyleXfs count="51">
    <xf numFmtId="0" fontId="15" fillId="0" borderId="0"/>
    <xf numFmtId="165" fontId="15" fillId="0" borderId="0"/>
    <xf numFmtId="166" fontId="15" fillId="0" borderId="0" applyAlignment="1">
      <alignment vertical="center"/>
    </xf>
    <xf numFmtId="9" fontId="15" fillId="0" borderId="0"/>
    <xf numFmtId="167" fontId="15" fillId="0" borderId="0" applyAlignment="1">
      <alignment vertical="center"/>
    </xf>
    <xf numFmtId="168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15" fillId="8" borderId="22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0" applyAlignment="1">
      <alignment vertical="center"/>
    </xf>
    <xf numFmtId="0" fontId="21" fillId="0" borderId="23" applyAlignment="1">
      <alignment vertical="center"/>
    </xf>
    <xf numFmtId="0" fontId="22" fillId="0" borderId="23" applyAlignment="1">
      <alignment vertical="center"/>
    </xf>
    <xf numFmtId="0" fontId="23" fillId="0" borderId="24" applyAlignment="1">
      <alignment vertical="center"/>
    </xf>
    <xf numFmtId="0" fontId="23" fillId="0" borderId="0" applyAlignment="1">
      <alignment vertical="center"/>
    </xf>
    <xf numFmtId="0" fontId="24" fillId="9" borderId="25" applyAlignment="1">
      <alignment vertical="center"/>
    </xf>
    <xf numFmtId="0" fontId="25" fillId="10" borderId="26" applyAlignment="1">
      <alignment vertical="center"/>
    </xf>
    <xf numFmtId="0" fontId="26" fillId="10" borderId="25" applyAlignment="1">
      <alignment vertical="center"/>
    </xf>
    <xf numFmtId="0" fontId="27" fillId="11" borderId="27" applyAlignment="1">
      <alignment vertical="center"/>
    </xf>
    <xf numFmtId="0" fontId="28" fillId="0" borderId="28" applyAlignment="1">
      <alignment vertical="center"/>
    </xf>
    <xf numFmtId="0" fontId="29" fillId="0" borderId="29" applyAlignment="1">
      <alignment vertical="center"/>
    </xf>
    <xf numFmtId="0" fontId="30" fillId="12" borderId="0"/>
    <xf numFmtId="0" fontId="31" fillId="13" borderId="0" applyAlignment="1">
      <alignment vertical="center"/>
    </xf>
    <xf numFmtId="0" fontId="32" fillId="14" borderId="0" applyAlignment="1">
      <alignment vertical="center"/>
    </xf>
    <xf numFmtId="0" fontId="33" fillId="15" borderId="0" applyAlignment="1">
      <alignment vertical="center"/>
    </xf>
    <xf numFmtId="0" fontId="34" fillId="16" borderId="0" applyAlignment="1">
      <alignment vertical="center"/>
    </xf>
    <xf numFmtId="0" fontId="34" fillId="17" borderId="0" applyAlignment="1">
      <alignment vertical="center"/>
    </xf>
    <xf numFmtId="0" fontId="33" fillId="18" borderId="0" applyAlignment="1">
      <alignment vertical="center"/>
    </xf>
    <xf numFmtId="0" fontId="33" fillId="19" borderId="0" applyAlignment="1">
      <alignment vertical="center"/>
    </xf>
    <xf numFmtId="0" fontId="34" fillId="20" borderId="0" applyAlignment="1">
      <alignment vertical="center"/>
    </xf>
    <xf numFmtId="0" fontId="34" fillId="21" borderId="0" applyAlignment="1">
      <alignment vertical="center"/>
    </xf>
    <xf numFmtId="0" fontId="33" fillId="22" borderId="0" applyAlignment="1">
      <alignment vertical="center"/>
    </xf>
    <xf numFmtId="0" fontId="33" fillId="23" borderId="0" applyAlignment="1">
      <alignment vertical="center"/>
    </xf>
    <xf numFmtId="0" fontId="34" fillId="24" borderId="0" applyAlignment="1">
      <alignment vertical="center"/>
    </xf>
    <xf numFmtId="0" fontId="34" fillId="25" borderId="0" applyAlignment="1">
      <alignment vertical="center"/>
    </xf>
    <xf numFmtId="0" fontId="33" fillId="26" borderId="0" applyAlignment="1">
      <alignment vertical="center"/>
    </xf>
    <xf numFmtId="0" fontId="33" fillId="27" borderId="0" applyAlignment="1">
      <alignment vertical="center"/>
    </xf>
    <xf numFmtId="0" fontId="34" fillId="28" borderId="0" applyAlignment="1">
      <alignment vertical="center"/>
    </xf>
    <xf numFmtId="0" fontId="34" fillId="29" borderId="0" applyAlignment="1">
      <alignment vertical="center"/>
    </xf>
    <xf numFmtId="0" fontId="33" fillId="30" borderId="0" applyAlignment="1">
      <alignment vertical="center"/>
    </xf>
    <xf numFmtId="0" fontId="33" fillId="31" borderId="0" applyAlignment="1">
      <alignment vertical="center"/>
    </xf>
    <xf numFmtId="0" fontId="34" fillId="32" borderId="0" applyAlignment="1">
      <alignment vertical="center"/>
    </xf>
    <xf numFmtId="0" fontId="34" fillId="33" borderId="0" applyAlignment="1">
      <alignment vertical="center"/>
    </xf>
    <xf numFmtId="0" fontId="33" fillId="34" borderId="0" applyAlignment="1">
      <alignment vertical="center"/>
    </xf>
    <xf numFmtId="0" fontId="33" fillId="35" borderId="0" applyAlignment="1">
      <alignment vertical="center"/>
    </xf>
    <xf numFmtId="0" fontId="34" fillId="36" borderId="0" applyAlignment="1">
      <alignment vertical="center"/>
    </xf>
    <xf numFmtId="0" fontId="34" fillId="37" borderId="0" applyAlignment="1">
      <alignment vertical="center"/>
    </xf>
    <xf numFmtId="0" fontId="33" fillId="38" borderId="0" applyAlignment="1">
      <alignment vertical="center"/>
    </xf>
    <xf numFmtId="165" fontId="15" fillId="0" borderId="0"/>
    <xf numFmtId="0" fontId="35" fillId="0" borderId="0"/>
  </cellStyleXfs>
  <cellXfs count="22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50">
      <alignment horizontal="center"/>
    </xf>
    <xf numFmtId="0" fontId="2" fillId="2" borderId="2" applyAlignment="1" pivotButton="0" quotePrefix="0" xfId="50">
      <alignment horizontal="center"/>
    </xf>
    <xf numFmtId="0" fontId="2" fillId="2" borderId="3" applyAlignment="1" pivotButton="0" quotePrefix="0" xfId="50">
      <alignment horizontal="center"/>
    </xf>
    <xf numFmtId="0" fontId="3" fillId="0" borderId="0" pivotButton="0" quotePrefix="0" xfId="50"/>
    <xf numFmtId="0" fontId="2" fillId="0" borderId="0" pivotButton="0" quotePrefix="0" xfId="50"/>
    <xf numFmtId="3" fontId="3" fillId="0" borderId="0" pivotButton="0" quotePrefix="0" xfId="50"/>
    <xf numFmtId="0" fontId="3" fillId="0" borderId="4" pivotButton="0" quotePrefix="0" xfId="50"/>
    <xf numFmtId="164" fontId="3" fillId="0" borderId="0" pivotButton="0" quotePrefix="0" xfId="1"/>
    <xf numFmtId="164" fontId="2" fillId="2" borderId="0" pivotButton="0" quotePrefix="0" xfId="1"/>
    <xf numFmtId="0" fontId="3" fillId="0" borderId="5" pivotButton="0" quotePrefix="0" xfId="50"/>
    <xf numFmtId="164" fontId="2" fillId="2" borderId="4" pivotButton="0" quotePrefix="0" xfId="1"/>
    <xf numFmtId="164" fontId="1" fillId="0" borderId="0" pivotButton="0" quotePrefix="0" xfId="0"/>
    <xf numFmtId="164" fontId="0" fillId="0" borderId="0" pivotButton="0" quotePrefix="0" xfId="0"/>
    <xf numFmtId="164" fontId="3" fillId="0" borderId="6" pivotButton="0" quotePrefix="0" xfId="1"/>
    <xf numFmtId="164" fontId="1" fillId="0" borderId="0" pivotButton="0" quotePrefix="0" xfId="1"/>
    <xf numFmtId="164" fontId="3" fillId="0" borderId="0" pivotButton="0" quotePrefix="0" xfId="50"/>
    <xf numFmtId="0" fontId="4" fillId="3" borderId="7" applyAlignment="1" pivotButton="0" quotePrefix="0" xfId="0">
      <alignment horizontal="center" vertical="center" wrapText="1"/>
    </xf>
    <xf numFmtId="0" fontId="4" fillId="3" borderId="8" applyAlignment="1" pivotButton="0" quotePrefix="0" xfId="0">
      <alignment horizontal="center" vertical="center" wrapText="1"/>
    </xf>
    <xf numFmtId="0" fontId="4" fillId="3" borderId="9" applyAlignment="1" pivotButton="0" quotePrefix="0" xfId="0">
      <alignment horizontal="center" vertical="center" wrapText="1"/>
    </xf>
    <xf numFmtId="0" fontId="5" fillId="0" borderId="0" pivotButton="0" quotePrefix="0" xfId="0"/>
    <xf numFmtId="0" fontId="4" fillId="3" borderId="10" applyAlignment="1" pivotButton="0" quotePrefix="0" xfId="0">
      <alignment horizontal="center" vertical="center" wrapText="1"/>
    </xf>
    <xf numFmtId="0" fontId="4" fillId="3" borderId="11" applyAlignment="1" pivotButton="0" quotePrefix="0" xfId="0">
      <alignment horizontal="center" vertical="center" wrapText="1"/>
    </xf>
    <xf numFmtId="0" fontId="4" fillId="3" borderId="12" applyAlignment="1" pivotButton="0" quotePrefix="0" xfId="0">
      <alignment horizontal="center" vertical="center" wrapText="1"/>
    </xf>
    <xf numFmtId="0" fontId="5" fillId="4" borderId="0" pivotButton="0" quotePrefix="0" xfId="0"/>
    <xf numFmtId="0" fontId="6" fillId="0" borderId="13" applyAlignment="1" pivotButton="0" quotePrefix="0" xfId="0">
      <alignment horizontal="center" vertical="top" wrapText="1"/>
    </xf>
    <xf numFmtId="0" fontId="6" fillId="0" borderId="14" applyAlignment="1" pivotButton="0" quotePrefix="0" xfId="0">
      <alignment horizontal="center" vertical="top" wrapText="1"/>
    </xf>
    <xf numFmtId="0" fontId="6" fillId="0" borderId="15" applyAlignment="1" pivotButton="0" quotePrefix="0" xfId="0">
      <alignment horizontal="center" vertical="top" wrapText="1"/>
    </xf>
    <xf numFmtId="0" fontId="6" fillId="0" borderId="16" applyAlignment="1" pivotButton="0" quotePrefix="0" xfId="0">
      <alignment horizontal="center" vertical="top" wrapText="1"/>
    </xf>
    <xf numFmtId="0" fontId="6" fillId="0" borderId="17" applyAlignment="1" pivotButton="0" quotePrefix="0" xfId="0">
      <alignment horizontal="centerContinuous" vertical="top" wrapText="1"/>
    </xf>
    <xf numFmtId="0" fontId="4" fillId="4" borderId="13" applyAlignment="1" pivotButton="0" quotePrefix="0" xfId="0">
      <alignment horizontal="center"/>
    </xf>
    <xf numFmtId="0" fontId="4" fillId="4" borderId="14" applyAlignment="1" pivotButton="0" quotePrefix="0" xfId="0">
      <alignment horizontal="center"/>
    </xf>
    <xf numFmtId="0" fontId="4" fillId="4" borderId="15" applyAlignment="1" pivotButton="0" quotePrefix="0" xfId="0">
      <alignment horizontal="center"/>
    </xf>
    <xf numFmtId="164" fontId="5" fillId="5" borderId="17" pivotButton="0" quotePrefix="0" xfId="1"/>
    <xf numFmtId="0" fontId="7" fillId="4" borderId="18" applyAlignment="1" pivotButton="0" quotePrefix="0" xfId="0">
      <alignment horizontal="left" vertical="top" wrapText="1"/>
    </xf>
    <xf numFmtId="0" fontId="7" fillId="4" borderId="19" applyAlignment="1" pivotButton="0" quotePrefix="0" xfId="0">
      <alignment horizontal="left" vertical="top" wrapText="1"/>
    </xf>
    <xf numFmtId="0" fontId="7" fillId="4" borderId="14" applyAlignment="1" pivotButton="0" quotePrefix="0" xfId="0">
      <alignment horizontal="left" vertical="top" wrapText="1"/>
    </xf>
    <xf numFmtId="0" fontId="7" fillId="4" borderId="15" applyAlignment="1" pivotButton="0" quotePrefix="0" xfId="0">
      <alignment horizontal="left" vertical="top" wrapText="1"/>
    </xf>
    <xf numFmtId="0" fontId="6" fillId="4" borderId="18" applyAlignment="1" pivotButton="0" quotePrefix="0" xfId="0">
      <alignment horizontal="left" vertical="top" wrapText="1"/>
    </xf>
    <xf numFmtId="0" fontId="6" fillId="4" borderId="16" applyAlignment="1" pivotButton="0" quotePrefix="0" xfId="0">
      <alignment horizontal="left" vertical="top" wrapText="1"/>
    </xf>
    <xf numFmtId="0" fontId="6" fillId="4" borderId="14" applyAlignment="1" pivotButton="0" quotePrefix="0" xfId="0">
      <alignment horizontal="left" vertical="top" wrapText="1"/>
    </xf>
    <xf numFmtId="0" fontId="6" fillId="4" borderId="15" applyAlignment="1" pivotButton="0" quotePrefix="0" xfId="0">
      <alignment horizontal="left" vertical="top" wrapText="1"/>
    </xf>
    <xf numFmtId="164" fontId="4" fillId="0" borderId="18" pivotButton="0" quotePrefix="0" xfId="1"/>
    <xf numFmtId="0" fontId="6" fillId="4" borderId="19" applyAlignment="1" pivotButton="0" quotePrefix="0" xfId="0">
      <alignment horizontal="left" vertical="top" wrapText="1"/>
    </xf>
    <xf numFmtId="164" fontId="5" fillId="5" borderId="20" pivotButton="0" quotePrefix="0" xfId="1"/>
    <xf numFmtId="0" fontId="7" fillId="4" borderId="16" applyAlignment="1" pivotButton="0" quotePrefix="0" xfId="0">
      <alignment horizontal="left" vertical="top" wrapText="1"/>
    </xf>
    <xf numFmtId="164" fontId="5" fillId="0" borderId="20" applyProtection="1" pivotButton="0" quotePrefix="0" xfId="1">
      <protection locked="0" hidden="0"/>
    </xf>
    <xf numFmtId="164" fontId="5" fillId="0" borderId="19" applyProtection="1" pivotButton="0" quotePrefix="0" xfId="1">
      <protection locked="0" hidden="0"/>
    </xf>
    <xf numFmtId="164" fontId="5" fillId="0" borderId="20" pivotButton="0" quotePrefix="0" xfId="1"/>
    <xf numFmtId="164" fontId="5" fillId="6" borderId="16" applyProtection="1" pivotButton="0" quotePrefix="0" xfId="1">
      <protection locked="0" hidden="0"/>
    </xf>
    <xf numFmtId="164" fontId="5" fillId="6" borderId="21" applyProtection="1" pivotButton="0" quotePrefix="0" xfId="1">
      <protection locked="0" hidden="0"/>
    </xf>
    <xf numFmtId="164" fontId="5" fillId="7" borderId="16" pivotButton="0" quotePrefix="0" xfId="1"/>
    <xf numFmtId="0" fontId="7" fillId="4" borderId="17" applyAlignment="1" pivotButton="0" quotePrefix="0" xfId="0">
      <alignment horizontal="left" vertical="top" wrapText="1"/>
    </xf>
    <xf numFmtId="164" fontId="5" fillId="0" borderId="18" applyProtection="1" pivotButton="0" quotePrefix="0" xfId="1">
      <protection locked="0" hidden="0"/>
    </xf>
    <xf numFmtId="164" fontId="5" fillId="6" borderId="18" applyProtection="1" pivotButton="0" quotePrefix="0" xfId="1">
      <protection locked="0" hidden="0"/>
    </xf>
    <xf numFmtId="164" fontId="5" fillId="6" borderId="18" pivotButton="0" quotePrefix="0" xfId="1"/>
    <xf numFmtId="164" fontId="5" fillId="0" borderId="18" pivotButton="0" quotePrefix="0" xfId="1"/>
    <xf numFmtId="0" fontId="8" fillId="0" borderId="16" applyAlignment="1" pivotButton="0" quotePrefix="0" xfId="22">
      <alignment horizontal="left" vertical="top" wrapText="1"/>
    </xf>
    <xf numFmtId="0" fontId="8" fillId="0" borderId="15" applyAlignment="1" pivotButton="0" quotePrefix="0" xfId="22">
      <alignment horizontal="left" vertical="top" wrapText="1"/>
    </xf>
    <xf numFmtId="164" fontId="5" fillId="6" borderId="16" pivotButton="0" quotePrefix="0" xfId="1"/>
    <xf numFmtId="164" fontId="4" fillId="6" borderId="16" pivotButton="0" quotePrefix="0" xfId="1"/>
    <xf numFmtId="0" fontId="9" fillId="0" borderId="0" applyAlignment="1" pivotButton="0" quotePrefix="0" xfId="0">
      <alignment horizontal="justify"/>
    </xf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/>
    </xf>
    <xf numFmtId="0" fontId="12" fillId="0" borderId="17" pivotButton="0" quotePrefix="0" xfId="0"/>
    <xf numFmtId="58" fontId="12" fillId="0" borderId="17" applyAlignment="1" pivotButton="0" quotePrefix="0" xfId="0">
      <alignment horizontal="center"/>
    </xf>
    <xf numFmtId="0" fontId="12" fillId="0" borderId="17" applyAlignment="1" pivotButton="0" quotePrefix="0" xfId="0">
      <alignment horizontal="center"/>
    </xf>
    <xf numFmtId="164" fontId="11" fillId="0" borderId="17" applyAlignment="1" pivotButton="0" quotePrefix="0" xfId="1">
      <alignment horizontal="center" vertical="center"/>
    </xf>
    <xf numFmtId="0" fontId="11" fillId="0" borderId="17" pivotButton="0" quotePrefix="0" xfId="0"/>
    <xf numFmtId="165" fontId="0" fillId="0" borderId="0" pivotButton="0" quotePrefix="0" xfId="0"/>
    <xf numFmtId="164" fontId="12" fillId="0" borderId="17" applyAlignment="1" pivotButton="0" quotePrefix="0" xfId="1">
      <alignment horizontal="center" vertical="center"/>
    </xf>
    <xf numFmtId="164" fontId="10" fillId="0" borderId="0" pivotButton="0" quotePrefix="0" xfId="0"/>
    <xf numFmtId="164" fontId="0" fillId="0" borderId="0" applyAlignment="1" pivotButton="0" quotePrefix="0" xfId="0">
      <alignment horizontal="left"/>
    </xf>
    <xf numFmtId="9" fontId="0" fillId="0" borderId="0" pivotButton="0" quotePrefix="0" xfId="3"/>
    <xf numFmtId="0" fontId="12" fillId="0" borderId="0" pivotButton="0" quotePrefix="0" xfId="0"/>
    <xf numFmtId="164" fontId="11" fillId="0" borderId="0" applyAlignment="1" pivotButton="0" quotePrefix="0" xfId="1">
      <alignment horizontal="center" vertical="center"/>
    </xf>
    <xf numFmtId="164" fontId="0" fillId="0" borderId="0" applyAlignment="1" pivotButton="0" quotePrefix="0" xfId="1">
      <alignment horizontal="center" vertical="center"/>
    </xf>
    <xf numFmtId="0" fontId="13" fillId="0" borderId="17" pivotButton="0" quotePrefix="0" xfId="0"/>
    <xf numFmtId="164" fontId="13" fillId="0" borderId="17" applyAlignment="1" pivotButton="0" quotePrefix="0" xfId="1">
      <alignment horizontal="center" vertical="center"/>
    </xf>
    <xf numFmtId="0" fontId="14" fillId="0" borderId="13" applyAlignment="1" pivotButton="0" quotePrefix="0" xfId="0">
      <alignment vertical="center"/>
    </xf>
    <xf numFmtId="164" fontId="10" fillId="0" borderId="15" applyAlignment="1" pivotButton="0" quotePrefix="0" xfId="49">
      <alignment horizontal="center"/>
    </xf>
    <xf numFmtId="164" fontId="0" fillId="0" borderId="0" pivotButton="0" quotePrefix="0" xfId="1"/>
    <xf numFmtId="0" fontId="47" fillId="0" borderId="0" pivotButton="0" quotePrefix="0" xfId="0"/>
    <xf numFmtId="0" fontId="38" fillId="0" borderId="0" pivotButton="0" quotePrefix="0" xfId="0"/>
    <xf numFmtId="0" fontId="48" fillId="55" borderId="0" pivotButton="0" quotePrefix="0" xfId="0"/>
    <xf numFmtId="0" fontId="36" fillId="41" borderId="0" pivotButton="0" quotePrefix="0" xfId="0"/>
    <xf numFmtId="0" fontId="0" fillId="0" borderId="0" applyAlignment="1" pivotButton="0" quotePrefix="0" xfId="0">
      <alignment vertical="top" wrapText="1"/>
    </xf>
    <xf numFmtId="169" fontId="0" fillId="40" borderId="0" pivotButton="0" quotePrefix="0" xfId="0"/>
    <xf numFmtId="0" fontId="36" fillId="42" borderId="0" pivotButton="0" quotePrefix="0" xfId="0"/>
    <xf numFmtId="169" fontId="0" fillId="53" borderId="0" pivotButton="0" quotePrefix="0" xfId="0"/>
    <xf numFmtId="0" fontId="36" fillId="44" borderId="0" pivotButton="0" quotePrefix="0" xfId="0"/>
    <xf numFmtId="169" fontId="0" fillId="43" borderId="0" pivotButton="0" quotePrefix="0" xfId="0"/>
    <xf numFmtId="0" fontId="36" fillId="46" borderId="0" pivotButton="0" quotePrefix="0" xfId="0"/>
    <xf numFmtId="169" fontId="0" fillId="45" borderId="0" pivotButton="0" quotePrefix="0" xfId="0"/>
    <xf numFmtId="0" fontId="36" fillId="47" borderId="0" pivotButton="0" quotePrefix="0" xfId="0"/>
    <xf numFmtId="169" fontId="0" fillId="39" borderId="0" pivotButton="0" quotePrefix="0" xfId="0"/>
    <xf numFmtId="0" fontId="36" fillId="48" borderId="0" pivotButton="0" quotePrefix="0" xfId="0"/>
    <xf numFmtId="169" fontId="0" fillId="56" borderId="0" pivotButton="0" quotePrefix="0" xfId="0"/>
    <xf numFmtId="0" fontId="36" fillId="49" borderId="0" pivotButton="0" quotePrefix="0" xfId="0"/>
    <xf numFmtId="169" fontId="0" fillId="54" borderId="0" pivotButton="0" quotePrefix="0" xfId="0"/>
    <xf numFmtId="0" fontId="49" fillId="0" borderId="0" pivotButton="0" quotePrefix="0" xfId="0"/>
    <xf numFmtId="0" fontId="36" fillId="50" borderId="0" pivotButton="0" quotePrefix="0" xfId="0"/>
    <xf numFmtId="0" fontId="0" fillId="50" borderId="0" pivotButton="0" quotePrefix="0" xfId="0"/>
    <xf numFmtId="0" fontId="0" fillId="52" borderId="0" pivotButton="0" quotePrefix="0" xfId="0"/>
    <xf numFmtId="0" fontId="0" fillId="51" borderId="0" pivotButton="0" quotePrefix="0" xfId="0"/>
    <xf numFmtId="169" fontId="0" fillId="0" borderId="0" pivotButton="0" quotePrefix="0" xfId="0"/>
    <xf numFmtId="164" fontId="11" fillId="0" borderId="17" applyAlignment="1" pivotButton="0" quotePrefix="0" xfId="1">
      <alignment horizontal="center" vertical="center"/>
    </xf>
    <xf numFmtId="164" fontId="0" fillId="0" borderId="0" pivotButton="0" quotePrefix="0" xfId="0"/>
    <xf numFmtId="164" fontId="11" fillId="41" borderId="17" applyAlignment="1" pivotButton="0" quotePrefix="0" xfId="1">
      <alignment horizontal="center" vertical="center"/>
    </xf>
    <xf numFmtId="0" fontId="39" fillId="0" borderId="0" pivotButton="0" quotePrefix="0" xfId="0"/>
    <xf numFmtId="164" fontId="11" fillId="42" borderId="17" applyAlignment="1" pivotButton="0" quotePrefix="0" xfId="1">
      <alignment horizontal="center" vertical="center"/>
    </xf>
    <xf numFmtId="0" fontId="40" fillId="0" borderId="0" pivotButton="0" quotePrefix="0" xfId="0"/>
    <xf numFmtId="164" fontId="11" fillId="48" borderId="17" applyAlignment="1" pivotButton="0" quotePrefix="0" xfId="1">
      <alignment horizontal="center" vertical="center"/>
    </xf>
    <xf numFmtId="0" fontId="41" fillId="0" borderId="0" pivotButton="0" quotePrefix="0" xfId="0"/>
    <xf numFmtId="164" fontId="11" fillId="44" borderId="17" applyAlignment="1" pivotButton="0" quotePrefix="0" xfId="1">
      <alignment horizontal="center" vertical="center"/>
    </xf>
    <xf numFmtId="0" fontId="42" fillId="0" borderId="0" pivotButton="0" quotePrefix="0" xfId="0"/>
    <xf numFmtId="164" fontId="11" fillId="47" borderId="17" applyAlignment="1" pivotButton="0" quotePrefix="0" xfId="1">
      <alignment horizontal="center" vertical="center"/>
    </xf>
    <xf numFmtId="0" fontId="43" fillId="0" borderId="0" pivotButton="0" quotePrefix="0" xfId="0"/>
    <xf numFmtId="164" fontId="11" fillId="51" borderId="17" applyAlignment="1" pivotButton="0" quotePrefix="0" xfId="1">
      <alignment horizontal="center" vertical="center"/>
    </xf>
    <xf numFmtId="165" fontId="46" fillId="0" borderId="0" pivotButton="0" quotePrefix="0" xfId="0"/>
    <xf numFmtId="164" fontId="36" fillId="52" borderId="17" applyAlignment="1" pivotButton="0" quotePrefix="0" xfId="1">
      <alignment horizontal="center" vertical="center"/>
    </xf>
    <xf numFmtId="164" fontId="12" fillId="0" borderId="17" applyAlignment="1" pivotButton="0" quotePrefix="0" xfId="1">
      <alignment horizontal="center" vertical="center"/>
    </xf>
    <xf numFmtId="164" fontId="11" fillId="46" borderId="17" applyAlignment="1" pivotButton="0" quotePrefix="0" xfId="1">
      <alignment horizontal="center" vertical="center"/>
    </xf>
    <xf numFmtId="0" fontId="44" fillId="0" borderId="0" pivotButton="0" quotePrefix="0" xfId="0"/>
    <xf numFmtId="164" fontId="10" fillId="0" borderId="0" pivotButton="0" quotePrefix="0" xfId="0"/>
    <xf numFmtId="164" fontId="11" fillId="49" borderId="17" applyAlignment="1" pivotButton="0" quotePrefix="0" xfId="1">
      <alignment horizontal="center" vertical="center"/>
    </xf>
    <xf numFmtId="164" fontId="0" fillId="0" borderId="0" applyAlignment="1" pivotButton="0" quotePrefix="0" xfId="0">
      <alignment horizontal="left"/>
    </xf>
    <xf numFmtId="0" fontId="45" fillId="0" borderId="0" pivotButton="0" quotePrefix="0" xfId="0"/>
    <xf numFmtId="164" fontId="11" fillId="50" borderId="17" applyAlignment="1" pivotButton="0" quotePrefix="0" xfId="1">
      <alignment horizontal="center" vertical="center"/>
    </xf>
    <xf numFmtId="164" fontId="11" fillId="0" borderId="0" applyAlignment="1" pivotButton="0" quotePrefix="0" xfId="1">
      <alignment horizontal="center" vertical="center"/>
    </xf>
    <xf numFmtId="164" fontId="0" fillId="0" borderId="0" applyAlignment="1" pivotButton="0" quotePrefix="0" xfId="1">
      <alignment horizontal="center" vertical="center"/>
    </xf>
    <xf numFmtId="164" fontId="36" fillId="52" borderId="0" applyAlignment="1" pivotButton="0" quotePrefix="0" xfId="1">
      <alignment horizontal="center" vertical="center"/>
    </xf>
    <xf numFmtId="164" fontId="13" fillId="0" borderId="17" applyAlignment="1" pivotButton="0" quotePrefix="0" xfId="1">
      <alignment horizontal="center" vertical="center"/>
    </xf>
    <xf numFmtId="164" fontId="10" fillId="0" borderId="15" applyAlignment="1" pivotButton="0" quotePrefix="0" xfId="49">
      <alignment horizontal="center"/>
    </xf>
    <xf numFmtId="164" fontId="0" fillId="0" borderId="0" pivotButton="0" quotePrefix="0" xfId="1"/>
    <xf numFmtId="0" fontId="46" fillId="0" borderId="0" pivotButton="0" quotePrefix="0" xfId="0"/>
    <xf numFmtId="0" fontId="4" fillId="3" borderId="33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6" fillId="0" borderId="17" applyAlignment="1" pivotButton="0" quotePrefix="0" xfId="0">
      <alignment horizontal="center" vertical="top" wrapText="1"/>
    </xf>
    <xf numFmtId="0" fontId="0" fillId="0" borderId="14" pivotButton="0" quotePrefix="0" xfId="0"/>
    <xf numFmtId="0" fontId="0" fillId="0" borderId="15" pivotButton="0" quotePrefix="0" xfId="0"/>
    <xf numFmtId="0" fontId="4" fillId="4" borderId="17" applyAlignment="1" pivotButton="0" quotePrefix="0" xfId="0">
      <alignment horizontal="center"/>
    </xf>
    <xf numFmtId="164" fontId="5" fillId="5" borderId="17" pivotButton="0" quotePrefix="0" xfId="1"/>
    <xf numFmtId="0" fontId="0" fillId="0" borderId="4" pivotButton="0" quotePrefix="0" xfId="0"/>
    <xf numFmtId="0" fontId="0" fillId="0" borderId="32" pivotButton="0" quotePrefix="0" xfId="0"/>
    <xf numFmtId="164" fontId="4" fillId="50" borderId="18" pivotButton="0" quotePrefix="0" xfId="1"/>
    <xf numFmtId="164" fontId="4" fillId="0" borderId="18" pivotButton="0" quotePrefix="0" xfId="1"/>
    <xf numFmtId="0" fontId="6" fillId="4" borderId="17" applyAlignment="1" pivotButton="0" quotePrefix="0" xfId="0">
      <alignment horizontal="left" vertical="top" wrapText="1"/>
    </xf>
    <xf numFmtId="164" fontId="5" fillId="5" borderId="20" pivotButton="0" quotePrefix="0" xfId="1"/>
    <xf numFmtId="164" fontId="5" fillId="0" borderId="20" applyProtection="1" pivotButton="0" quotePrefix="0" xfId="1">
      <protection locked="0" hidden="0"/>
    </xf>
    <xf numFmtId="164" fontId="5" fillId="0" borderId="19" applyProtection="1" pivotButton="0" quotePrefix="0" xfId="1">
      <protection locked="0" hidden="0"/>
    </xf>
    <xf numFmtId="164" fontId="5" fillId="50" borderId="20" pivotButton="0" quotePrefix="0" xfId="1"/>
    <xf numFmtId="164" fontId="5" fillId="6" borderId="16" applyProtection="1" pivotButton="0" quotePrefix="0" xfId="1">
      <protection locked="0" hidden="0"/>
    </xf>
    <xf numFmtId="164" fontId="5" fillId="6" borderId="21" applyProtection="1" pivotButton="0" quotePrefix="0" xfId="1">
      <protection locked="0" hidden="0"/>
    </xf>
    <xf numFmtId="164" fontId="5" fillId="50" borderId="16" pivotButton="0" quotePrefix="0" xfId="1"/>
    <xf numFmtId="164" fontId="5" fillId="0" borderId="18" applyProtection="1" pivotButton="0" quotePrefix="0" xfId="1">
      <protection locked="0" hidden="0"/>
    </xf>
    <xf numFmtId="164" fontId="5" fillId="50" borderId="18" applyProtection="1" pivotButton="0" quotePrefix="0" xfId="1">
      <protection locked="0" hidden="0"/>
    </xf>
    <xf numFmtId="164" fontId="5" fillId="49" borderId="18" applyProtection="1" pivotButton="0" quotePrefix="0" xfId="1">
      <protection locked="0" hidden="0"/>
    </xf>
    <xf numFmtId="164" fontId="5" fillId="6" borderId="18" applyProtection="1" pivotButton="0" quotePrefix="0" xfId="1">
      <protection locked="0" hidden="0"/>
    </xf>
    <xf numFmtId="164" fontId="5" fillId="50" borderId="18" pivotButton="0" quotePrefix="0" xfId="1"/>
    <xf numFmtId="164" fontId="4" fillId="50" borderId="16" pivotButton="0" quotePrefix="0" xfId="1"/>
    <xf numFmtId="0" fontId="2" fillId="2" borderId="33" applyAlignment="1" pivotButton="0" quotePrefix="0" xfId="50">
      <alignment horizontal="center"/>
    </xf>
    <xf numFmtId="0" fontId="0" fillId="0" borderId="2" pivotButton="0" quotePrefix="0" xfId="0"/>
    <xf numFmtId="0" fontId="0" fillId="0" borderId="3" pivotButton="0" quotePrefix="0" xfId="0"/>
    <xf numFmtId="169" fontId="3" fillId="50" borderId="0" pivotButton="0" quotePrefix="0" xfId="50"/>
    <xf numFmtId="164" fontId="3" fillId="50" borderId="0" pivotButton="0" quotePrefix="0" xfId="1"/>
    <xf numFmtId="164" fontId="3" fillId="0" borderId="0" pivotButton="0" quotePrefix="0" xfId="1"/>
    <xf numFmtId="164" fontId="2" fillId="52" borderId="0" pivotButton="0" quotePrefix="0" xfId="1"/>
    <xf numFmtId="169" fontId="3" fillId="47" borderId="0" pivotButton="0" quotePrefix="0" xfId="50"/>
    <xf numFmtId="169" fontId="3" fillId="49" borderId="0" pivotButton="0" quotePrefix="0" xfId="50"/>
    <xf numFmtId="169" fontId="3" fillId="0" borderId="0" pivotButton="0" quotePrefix="0" xfId="50"/>
    <xf numFmtId="169" fontId="3" fillId="46" borderId="0" pivotButton="0" quotePrefix="0" xfId="50"/>
    <xf numFmtId="164" fontId="2" fillId="52" borderId="4" pivotButton="0" quotePrefix="0" xfId="1"/>
    <xf numFmtId="164" fontId="3" fillId="52" borderId="0" pivotButton="0" quotePrefix="0" xfId="1"/>
    <xf numFmtId="169" fontId="3" fillId="50" borderId="0" pivotButton="0" quotePrefix="0" xfId="1"/>
    <xf numFmtId="164" fontId="1" fillId="0" borderId="0" pivotButton="0" quotePrefix="0" xfId="0"/>
    <xf numFmtId="169" fontId="3" fillId="50" borderId="6" pivotButton="0" quotePrefix="0" xfId="1"/>
    <xf numFmtId="164" fontId="1" fillId="0" borderId="0" pivotButton="0" quotePrefix="0" xfId="1"/>
    <xf numFmtId="164" fontId="3" fillId="0" borderId="0" pivotButton="0" quotePrefix="0" xfId="50"/>
    <xf numFmtId="0" fontId="37" fillId="0" borderId="0" pivotButton="0" quotePrefix="0" xfId="0"/>
    <xf numFmtId="0" fontId="36" fillId="54" borderId="0" pivotButton="0" quotePrefix="0" xfId="0"/>
    <xf numFmtId="169" fontId="0" fillId="49" borderId="0" pivotButton="0" quotePrefix="0" xfId="0"/>
    <xf numFmtId="169" fontId="36" fillId="0" borderId="0" pivotButton="0" quotePrefix="0" xfId="0"/>
    <xf numFmtId="0" fontId="36" fillId="0" borderId="0" pivotButton="0" quotePrefix="0" xfId="0"/>
    <xf numFmtId="169" fontId="36" fillId="49" borderId="0" pivotButton="0" quotePrefix="0" xfId="0"/>
    <xf numFmtId="169" fontId="0" fillId="50" borderId="0" pivotButton="0" quotePrefix="0" xfId="0"/>
    <xf numFmtId="2" fontId="0" fillId="50" borderId="0" pivotButton="0" quotePrefix="0" xfId="0"/>
    <xf numFmtId="171" fontId="0" fillId="50" borderId="0" pivotButton="0" quotePrefix="0" xfId="0"/>
    <xf numFmtId="171" fontId="0" fillId="0" borderId="0" pivotButton="0" quotePrefix="0" xfId="0"/>
    <xf numFmtId="1" fontId="0" fillId="50" borderId="0" pivotButton="0" quotePrefix="0" xfId="0"/>
    <xf numFmtId="1" fontId="0" fillId="0" borderId="0" pivotButton="0" quotePrefix="0" xfId="0"/>
    <xf numFmtId="0" fontId="36" fillId="40" borderId="0" pivotButton="0" quotePrefix="0" xfId="0"/>
    <xf numFmtId="0" fontId="0" fillId="40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37" fillId="41" borderId="0" pivotButton="0" quotePrefix="0" xfId="0"/>
    <xf numFmtId="169" fontId="36" fillId="0" borderId="36" pivotButton="0" quotePrefix="0" xfId="0"/>
    <xf numFmtId="169" fontId="36" fillId="41" borderId="0" pivotButton="0" quotePrefix="0" xfId="0"/>
    <xf numFmtId="170" fontId="0" fillId="0" borderId="0" pivotButton="0" quotePrefix="0" xfId="0"/>
    <xf numFmtId="0" fontId="37" fillId="42" borderId="0" pivotButton="0" quotePrefix="0" xfId="0"/>
    <xf numFmtId="169" fontId="36" fillId="42" borderId="36" pivotButton="0" quotePrefix="0" xfId="0"/>
    <xf numFmtId="169" fontId="36" fillId="42" borderId="0" pivotButton="0" quotePrefix="0" xfId="0"/>
    <xf numFmtId="0" fontId="37" fillId="44" borderId="0" pivotButton="0" quotePrefix="0" xfId="0"/>
    <xf numFmtId="0" fontId="36" fillId="43" borderId="0" pivotButton="0" quotePrefix="0" xfId="0"/>
    <xf numFmtId="169" fontId="36" fillId="44" borderId="0" pivotButton="0" quotePrefix="0" xfId="0"/>
    <xf numFmtId="0" fontId="37" fillId="46" borderId="0" pivotButton="0" quotePrefix="0" xfId="0"/>
    <xf numFmtId="0" fontId="36" fillId="45" borderId="0" pivotButton="0" quotePrefix="0" xfId="0"/>
    <xf numFmtId="169" fontId="36" fillId="46" borderId="0" pivotButton="0" quotePrefix="0" xfId="0"/>
    <xf numFmtId="0" fontId="37" fillId="47" borderId="0" pivotButton="0" quotePrefix="0" xfId="0"/>
    <xf numFmtId="0" fontId="36" fillId="39" borderId="0" pivotButton="0" quotePrefix="0" xfId="0"/>
    <xf numFmtId="169" fontId="36" fillId="47" borderId="0" pivotButton="0" quotePrefix="0" xfId="0"/>
    <xf numFmtId="0" fontId="37" fillId="48" borderId="0" pivotButton="0" quotePrefix="0" xfId="0"/>
    <xf numFmtId="169" fontId="36" fillId="48" borderId="0" pivotButton="0" quotePrefix="0" xfId="0"/>
    <xf numFmtId="0" fontId="37" fillId="49" borderId="0" pivotButton="0" quotePrefix="0" xfId="0"/>
  </cellXfs>
  <cellStyles count="51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  <cellStyle name="Millares 2" xfId="49"/>
    <cellStyle name="Normal 2" xfId="5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hyperlink" Target="#'PT a Caja y DC'!A1" TargetMode="External" Id="rId1"/><Relationship Type="http://schemas.openxmlformats.org/officeDocument/2006/relationships/hyperlink" Target="#'PT b Banco'!A1" TargetMode="External" Id="rId2"/><Relationship Type="http://schemas.openxmlformats.org/officeDocument/2006/relationships/hyperlink" Target="#'PT c Stock'!A1" TargetMode="External" Id="rId3"/><Relationship Type="http://schemas.openxmlformats.org/officeDocument/2006/relationships/hyperlink" Target="#'PT d Prestamos'!A1" TargetMode="External" Id="rId4"/><Relationship Type="http://schemas.openxmlformats.org/officeDocument/2006/relationships/hyperlink" Target="#'PT e PPE'!A1" TargetMode="External" Id="rId5"/><Relationship Type="http://schemas.openxmlformats.org/officeDocument/2006/relationships/hyperlink" Target="#'PT f Seguros'!A1" TargetMode="External" Id="rId6"/><Relationship Type="http://schemas.openxmlformats.org/officeDocument/2006/relationships/hyperlink" Target="#'PT g Patrimonio'!A1" TargetMode="External" Id="rId7"/><Relationship Type="http://schemas.openxmlformats.org/officeDocument/2006/relationships/hyperlink" Target="#'ESF Y ER 2025 LETRA'!A1" TargetMode="External" Id="rId8"/><Relationship Type="http://schemas.openxmlformats.org/officeDocument/2006/relationships/hyperlink" Target="#'ECP 2025'!A1" TargetMode="External" Id="rId9"/><Relationship Type="http://schemas.openxmlformats.org/officeDocument/2006/relationships/hyperlink" Target="#'EFE 2025'!A1" TargetMode="External" Id="rId10"/><Relationship Type="http://schemas.openxmlformats.org/officeDocument/2006/relationships/hyperlink" Target="#'Pedido 2'!A1" TargetMode="External" Id="rId11"/><Relationship Type="http://schemas.openxmlformats.org/officeDocument/2006/relationships/hyperlink" Target="#'Pedido 3 Indicadores'!A1" TargetMode="External" Id="rId12"/><Relationship Type="http://schemas.openxmlformats.org/officeDocument/2006/relationships/hyperlink" Target="#'Asientos'!A1" TargetMode="External" Id="rId13"/></Relationships>
</file>

<file path=xl/worksheets/_rels/sheet2.xml.rels><Relationships xmlns="http://schemas.openxmlformats.org/package/2006/relationships"><Relationship Type="http://schemas.openxmlformats.org/officeDocument/2006/relationships/hyperlink" Target="#'PT a Caja y DC'!A1" TargetMode="External" Id="rId1"/><Relationship Type="http://schemas.openxmlformats.org/officeDocument/2006/relationships/hyperlink" Target="#'PT b Banco'!A1" TargetMode="External" Id="rId2"/><Relationship Type="http://schemas.openxmlformats.org/officeDocument/2006/relationships/hyperlink" Target="#'PT a Caja y DC'!A1" TargetMode="External" Id="rId3"/><Relationship Type="http://schemas.openxmlformats.org/officeDocument/2006/relationships/hyperlink" Target="#'PT f Seguros'!A1" TargetMode="External" Id="rId4"/><Relationship Type="http://schemas.openxmlformats.org/officeDocument/2006/relationships/hyperlink" Target="#'PT c Stock'!A1" TargetMode="External" Id="rId5"/><Relationship Type="http://schemas.openxmlformats.org/officeDocument/2006/relationships/hyperlink" Target="#'PT e PPE'!A1" TargetMode="External" Id="rId6"/><Relationship Type="http://schemas.openxmlformats.org/officeDocument/2006/relationships/hyperlink" Target="#'PT e PPE'!A1" TargetMode="External" Id="rId7"/><Relationship Type="http://schemas.openxmlformats.org/officeDocument/2006/relationships/hyperlink" Target="#'PT f Seguros'!A1" TargetMode="External" Id="rId8"/><Relationship Type="http://schemas.openxmlformats.org/officeDocument/2006/relationships/hyperlink" Target="#'PT f Seguros'!A1" TargetMode="External" Id="rId9"/><Relationship Type="http://schemas.openxmlformats.org/officeDocument/2006/relationships/hyperlink" Target="#'PT d Prestamos'!A1" TargetMode="External" Id="rId10"/><Relationship Type="http://schemas.openxmlformats.org/officeDocument/2006/relationships/hyperlink" Target="#'PT d Prestamos'!A1" TargetMode="External" Id="rId11"/><Relationship Type="http://schemas.openxmlformats.org/officeDocument/2006/relationships/hyperlink" Target="#'PT d Prestamos'!A1" TargetMode="External" Id="rId12"/><Relationship Type="http://schemas.openxmlformats.org/officeDocument/2006/relationships/hyperlink" Target="#'PT d Prestamos'!A1" TargetMode="External" Id="rId13"/><Relationship Type="http://schemas.openxmlformats.org/officeDocument/2006/relationships/hyperlink" Target="#'PT g Patrimonio'!A1" TargetMode="External" Id="rId14"/><Relationship Type="http://schemas.openxmlformats.org/officeDocument/2006/relationships/hyperlink" Target="#'PT g Patrimonio'!A1" TargetMode="External" Id="rId15"/><Relationship Type="http://schemas.openxmlformats.org/officeDocument/2006/relationships/hyperlink" Target="#'PT g Patrimonio'!A1" TargetMode="External" Id="rId16"/><Relationship Type="http://schemas.openxmlformats.org/officeDocument/2006/relationships/hyperlink" Target="#'PT g Patrimonio'!A1" TargetMode="External" Id="rId17"/><Relationship Type="http://schemas.openxmlformats.org/officeDocument/2006/relationships/hyperlink" Target="#'PT c Stock'!A1" TargetMode="External" Id="rId18"/><Relationship Type="http://schemas.openxmlformats.org/officeDocument/2006/relationships/hyperlink" Target="#'PT e PPE'!A1" TargetMode="External" Id="rId19"/><Relationship Type="http://schemas.openxmlformats.org/officeDocument/2006/relationships/hyperlink" Target="#'PT f Seguros'!A1" TargetMode="External" Id="rId20"/><Relationship Type="http://schemas.openxmlformats.org/officeDocument/2006/relationships/hyperlink" Target="#'PT c Stock'!A1" TargetMode="External" Id="rId21"/><Relationship Type="http://schemas.openxmlformats.org/officeDocument/2006/relationships/hyperlink" Target="#'PT a Caja y DC'!A1" TargetMode="External" Id="rId22"/><Relationship Type="http://schemas.openxmlformats.org/officeDocument/2006/relationships/hyperlink" Target="#'PT e PPE'!A1" TargetMode="External" Id="rId23"/><Relationship Type="http://schemas.openxmlformats.org/officeDocument/2006/relationships/hyperlink" Target="#'PT a Caja y DC'!A1" TargetMode="External" Id="rId24"/><Relationship Type="http://schemas.openxmlformats.org/officeDocument/2006/relationships/hyperlink" Target="#'PT d Prestamos'!A1" TargetMode="External" Id="rId25"/></Relationships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B1:F39"/>
  <sheetViews>
    <sheetView showGridLines="0" tabSelected="1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34" customWidth="1" min="3" max="3"/>
    <col width="58" customWidth="1" min="4" max="4"/>
    <col width="20" customWidth="1" min="5" max="5"/>
    <col width="24" customWidth="1" min="6" max="6"/>
  </cols>
  <sheetData>
    <row r="1">
      <c r="B1" s="84" t="inlineStr">
        <is>
          <t>Obligatorio Contabilidad Financiera II - La Victoria S.A. - Ejercicio 2025</t>
        </is>
      </c>
    </row>
    <row r="2">
      <c r="B2" s="85" t="inlineStr">
        <is>
          <t>Como leer este libro: cada papel de trabajo (PT) tiene un color. Ese mismo color aparece en las celdas de los estados que usan su resultado, con un enlace a la hoja de origen.</t>
        </is>
      </c>
    </row>
    <row r="4">
      <c r="B4" s="86" t="inlineStr">
        <is>
          <t>Color / hoja</t>
        </is>
      </c>
      <c r="C4" s="86" t="inlineStr">
        <is>
          <t>Literal</t>
        </is>
      </c>
      <c r="D4" s="86" t="inlineStr">
        <is>
          <t>Que resuelve</t>
        </is>
      </c>
      <c r="E4" s="86" t="inlineStr">
        <is>
          <t>Resultado clave</t>
        </is>
      </c>
      <c r="F4" s="86" t="inlineStr">
        <is>
          <t>Va a</t>
        </is>
      </c>
    </row>
    <row r="5" ht="32" customHeight="1">
      <c r="B5" s="87" t="inlineStr">
        <is>
          <t>PT a Caja y DC</t>
        </is>
      </c>
      <c r="C5" s="88" t="inlineStr">
        <is>
          <t>a) Caja, faltante, cheques, D/C</t>
        </is>
      </c>
      <c r="D5" s="88" t="inlineStr">
        <is>
          <t>Arqueo de caja (comprobantes vs. valores contados) y diferencia de cambio USD</t>
        </is>
      </c>
      <c r="E5" s="89">
        <f>'PT a Caja y DC'!B26</f>
        <v/>
      </c>
      <c r="F5" s="88" t="inlineStr">
        <is>
          <t>Caja, Cheques dif., Faltante, D/C gda</t>
        </is>
      </c>
    </row>
    <row r="6" ht="32" customHeight="1">
      <c r="B6" s="90" t="inlineStr">
        <is>
          <t>PT b Banco</t>
        </is>
      </c>
      <c r="C6" s="88" t="inlineStr">
        <is>
          <t>b) Banco cta. cte. MN</t>
        </is>
      </c>
      <c r="D6" s="88" t="inlineStr">
        <is>
          <t>Conciliacion bancaria al 31/12 (empresa vs. banco)</t>
        </is>
      </c>
      <c r="E6" s="91">
        <f>'PT b Banco'!B17</f>
        <v/>
      </c>
      <c r="F6" s="88" t="inlineStr">
        <is>
          <t>Banco</t>
        </is>
      </c>
    </row>
    <row r="7" ht="32" customHeight="1">
      <c r="B7" s="92" t="inlineStr">
        <is>
          <t>PT c Stock</t>
        </is>
      </c>
      <c r="C7" s="88" t="inlineStr">
        <is>
          <t>c) Inventarios, costo, dif. stock</t>
        </is>
      </c>
      <c r="D7" s="88" t="inlineStr">
        <is>
          <t>Planilla FIFO, recuento fisico 39 uds.</t>
        </is>
      </c>
      <c r="E7" s="93">
        <f>'PT c Stock'!I21</f>
        <v/>
      </c>
      <c r="F7" s="88" t="inlineStr">
        <is>
          <t>Inventarios, Costo de ventas, Dif. de stock</t>
        </is>
      </c>
    </row>
    <row r="8" ht="32" customHeight="1">
      <c r="B8" s="94" t="inlineStr">
        <is>
          <t>PT d Prestamos</t>
        </is>
      </c>
      <c r="C8" s="88" t="inlineStr">
        <is>
          <t>d) Prestamos e intereses</t>
        </is>
      </c>
      <c r="D8" s="88" t="inlineStr">
        <is>
          <t>Cuotas del prestamo 1, saldos de capital e intereses</t>
        </is>
      </c>
      <c r="E8" s="95">
        <f>'PT d Prestamos'!B19</f>
        <v/>
      </c>
      <c r="F8" s="88" t="inlineStr">
        <is>
          <t>Ptamos, Int. a pagar/perdidos/a vencer</t>
        </is>
      </c>
    </row>
    <row r="9" ht="32" customHeight="1">
      <c r="B9" s="96" t="inlineStr">
        <is>
          <t>PT e PPE</t>
        </is>
      </c>
      <c r="C9" s="88" t="inlineStr">
        <is>
          <t>e) PPE y amortizaciones</t>
        </is>
      </c>
      <c r="D9" s="88" t="inlineStr">
        <is>
          <t>Amortizaciones, baja de equipos y resultado por venta</t>
        </is>
      </c>
      <c r="E9" s="97">
        <f>'PT e PPE'!F11</f>
        <v/>
      </c>
      <c r="F9" s="88" t="inlineStr">
        <is>
          <t>PPE, Amort. acum., Amortizaciones, Rdo. vta. PPE</t>
        </is>
      </c>
    </row>
    <row r="10" ht="32" customHeight="1">
      <c r="B10" s="98" t="inlineStr">
        <is>
          <t>PT f Seguros</t>
        </is>
      </c>
      <c r="C10" s="88" t="inlineStr">
        <is>
          <t>f) Seguros</t>
        </is>
      </c>
      <c r="D10" s="88" t="inlineStr">
        <is>
          <t>Reparto de la prima: gasto, pagado por adelantado y a vencer</t>
        </is>
      </c>
      <c r="E10" s="99">
        <f>'PT f Seguros'!B8</f>
        <v/>
      </c>
      <c r="F10" s="88" t="inlineStr">
        <is>
          <t>Seguros (gasto), Seg. pagos x adel., a pagar, perd. a vencer</t>
        </is>
      </c>
    </row>
    <row r="11" ht="32" customHeight="1">
      <c r="B11" s="100" t="inlineStr">
        <is>
          <t>PT g Patrimonio</t>
        </is>
      </c>
      <c r="C11" s="88" t="inlineStr">
        <is>
          <t>g) Patrimonio / Pedido 2</t>
        </is>
      </c>
      <c r="D11" s="88" t="inlineStr">
        <is>
          <t>Reserva legal, capital, aportes a capitalizar, ampliacion minima</t>
        </is>
      </c>
      <c r="E11" s="101">
        <f>'PT g Patrimonio'!B19</f>
        <v/>
      </c>
      <c r="F11" s="88" t="inlineStr">
        <is>
          <t>ESF patrimonio, ECP, Pedido 2</t>
        </is>
      </c>
    </row>
    <row r="12">
      <c r="B12" s="102" t="inlineStr">
        <is>
          <t>Estados y respuestas</t>
        </is>
      </c>
    </row>
    <row r="13">
      <c r="B13" s="103" t="inlineStr">
        <is>
          <t>ESF Y ER 2025 LETRA</t>
        </is>
      </c>
      <c r="C13" t="inlineStr">
        <is>
          <t>Pedido 1 a)</t>
        </is>
      </c>
      <c r="D13" t="inlineStr">
        <is>
          <t>Estado de Situacion Financiera (2025 y 2024) y Estado de Resultados</t>
        </is>
      </c>
    </row>
    <row r="14">
      <c r="B14" s="103" t="inlineStr">
        <is>
          <t>ECP 2025</t>
        </is>
      </c>
      <c r="C14" t="inlineStr">
        <is>
          <t>Pedido 1 b)</t>
        </is>
      </c>
      <c r="D14" t="inlineStr">
        <is>
          <t>Estado de Cambios en el Patrimonio</t>
        </is>
      </c>
    </row>
    <row r="15">
      <c r="B15" s="103" t="inlineStr">
        <is>
          <t>EFE 2025</t>
        </is>
      </c>
      <c r="C15" t="inlineStr">
        <is>
          <t>Pedido 1 b)</t>
        </is>
      </c>
      <c r="D15" t="inlineStr">
        <is>
          <t>Estado de Flujos de Efectivo (metodo indirecto)</t>
        </is>
      </c>
    </row>
    <row r="16">
      <c r="B16" s="103" t="inlineStr">
        <is>
          <t>Pedido 2</t>
        </is>
      </c>
      <c r="C16" t="inlineStr">
        <is>
          <t>Pedido 2</t>
        </is>
      </c>
      <c r="D16" t="inlineStr">
        <is>
          <t>Asientos de la hipotesis alternativa y ampliacion minima de capital</t>
        </is>
      </c>
    </row>
    <row r="17">
      <c r="B17" s="103" t="inlineStr">
        <is>
          <t>Pedido 3 Indicadores</t>
        </is>
      </c>
      <c r="C17" t="inlineStr">
        <is>
          <t>Pedido 3</t>
        </is>
      </c>
      <c r="D17" t="inlineStr">
        <is>
          <t>Indicadores y respuesta fundamentada: invertiria?</t>
        </is>
      </c>
    </row>
    <row r="18">
      <c r="B18" s="103" t="inlineStr">
        <is>
          <t>Asientos</t>
        </is>
      </c>
      <c r="C18" t="inlineStr">
        <is>
          <t>a) y b) + 2a)</t>
        </is>
      </c>
      <c r="D18" t="inlineStr">
        <is>
          <t>Libro diario de arqueo, conciliacion y distribucion</t>
        </is>
      </c>
    </row>
    <row r="20">
      <c r="B20" s="102" t="inlineStr">
        <is>
          <t>Referencias de color en los estados</t>
        </is>
      </c>
    </row>
    <row r="21">
      <c r="B21" s="104" t="inlineStr">
        <is>
          <t>Gris</t>
        </is>
      </c>
      <c r="C21" t="inlineStr">
        <is>
          <t>Calculo entre cuentas del propio estado</t>
        </is>
      </c>
    </row>
    <row r="22">
      <c r="B22" s="105" t="inlineStr">
        <is>
          <t>Gris oscuro</t>
        </is>
      </c>
      <c r="C22" t="inlineStr">
        <is>
          <t>Totales y subtotales</t>
        </is>
      </c>
    </row>
    <row r="23">
      <c r="B23" s="106" t="inlineStr">
        <is>
          <t>Rosa</t>
        </is>
      </c>
      <c r="C23" t="inlineStr">
        <is>
          <t>Cuenta directores: saldo por diferencia</t>
        </is>
      </c>
    </row>
    <row r="24">
      <c r="B24" t="inlineStr">
        <is>
          <t>Sin color</t>
        </is>
      </c>
      <c r="C24" t="inlineStr">
        <is>
          <t>Dato de la consigna</t>
        </is>
      </c>
    </row>
    <row r="26">
      <c r="B26" s="102" t="inlineStr">
        <is>
          <t>Supuestos a validar con el grupo</t>
        </is>
      </c>
    </row>
    <row r="27" ht="30" customHeight="1">
      <c r="B27" s="88" t="inlineStr">
        <is>
          <t>1) Cheque Nro 321 (vto 15/12/25) vencido al cierre: se trata como Caja (si fuera cheque diferido, el faltante seria 7.100).</t>
        </is>
      </c>
    </row>
    <row r="28" ht="30" customHeight="1">
      <c r="B28" s="88" t="inlineStr">
        <is>
          <t>2) Transferencia Nro 534 (empresa 15.000 vs. banco 1.500): se presume correcto el banco; ajuste -13.500 a la empresa.</t>
        </is>
      </c>
    </row>
    <row r="29" ht="30" customHeight="1">
      <c r="B29" s="88" t="inlineStr">
        <is>
          <t>3) Inmueble amortizado desde su incorporacion al patrimonio (01/01/2019): amort. acum. 192.000 al 01/01/25 (con 2015 serian +128.000; no cambia el resultado).</t>
        </is>
      </c>
    </row>
    <row r="30" ht="30" customHeight="1">
      <c r="B30" s="88" t="inlineStr">
        <is>
          <t>4) Aporte en efectivo 31/10/25 (800.000) completa la ampliacion de capital 2,6M -&gt; 3,8M; vehiculo (200.000) y div. en acciones (400.000) quedan en Aportes a capitalizar.</t>
        </is>
      </c>
    </row>
    <row r="31" ht="30" customHeight="1">
      <c r="B31" s="88" t="inlineStr">
        <is>
          <t>5) Prestamos y seguros con metodo bruto (Int. a pagar nominal + Int. perdidos a vencer). Prima del seguro repartida segun lo pagado (18.000) y financiado (30.000).</t>
        </is>
      </c>
    </row>
    <row r="32" ht="30" customHeight="1">
      <c r="B32" s="88" t="inlineStr">
        <is>
          <t>6) Dif. de stock: 1 unidad valuada a la capa mas antigua (12.000). Efectivo = Caja + Banco. Gastos adm. y ventas (585.663) se toma como saldo final dado.</t>
        </is>
      </c>
    </row>
    <row r="34">
      <c r="B34" s="102" t="inlineStr">
        <is>
          <t>Verificaciones</t>
        </is>
      </c>
    </row>
    <row r="35">
      <c r="B35" t="inlineStr">
        <is>
          <t>Balance cuadra (Activo - Pasivo y Patrimonio)</t>
        </is>
      </c>
      <c r="E35" s="107">
        <f>'ESF Y ER 2025 LETRA'!C16-'ESF Y ER 2025 LETRA'!C37</f>
        <v/>
      </c>
      <c r="F35" t="inlineStr">
        <is>
          <t>(todas deben dar 0)</t>
        </is>
      </c>
    </row>
    <row r="36">
      <c r="B36" t="inlineStr">
        <is>
          <t>ER = ESF (resultado)</t>
        </is>
      </c>
      <c r="E36" s="107">
        <f>'ESF Y ER 2025 LETRA'!D56</f>
        <v/>
      </c>
    </row>
    <row r="37">
      <c r="B37" t="inlineStr">
        <is>
          <t>EFE: control de disponibilidades</t>
        </is>
      </c>
      <c r="E37" s="107">
        <f>'EFE 2025'!G45</f>
        <v/>
      </c>
    </row>
    <row r="38">
      <c r="B38" t="inlineStr">
        <is>
          <t>ECP = ESF (patrimonio)</t>
        </is>
      </c>
      <c r="E38" s="107">
        <f>'ECP 2025'!L32</f>
        <v/>
      </c>
    </row>
    <row r="39">
      <c r="B39" t="inlineStr">
        <is>
          <t>Conciliacion bancaria: empresa - banco</t>
        </is>
      </c>
      <c r="E39" s="107">
        <f>'PT b Banco'!B12</f>
        <v/>
      </c>
    </row>
  </sheetData>
  <mergeCells count="11">
    <mergeCell ref="B30:F30"/>
    <mergeCell ref="B29:F29"/>
    <mergeCell ref="B36:D36"/>
    <mergeCell ref="B37:D37"/>
    <mergeCell ref="B28:F28"/>
    <mergeCell ref="B35:D35"/>
    <mergeCell ref="B31:F31"/>
    <mergeCell ref="B39:D39"/>
    <mergeCell ref="B32:F32"/>
    <mergeCell ref="B38:D38"/>
    <mergeCell ref="B27:F27"/>
  </mergeCells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  <hyperlink xmlns:r="http://schemas.openxmlformats.org/officeDocument/2006/relationships" ref="B16" r:id="rId11"/>
    <hyperlink xmlns:r="http://schemas.openxmlformats.org/officeDocument/2006/relationships" ref="B17" r:id="rId12"/>
    <hyperlink xmlns:r="http://schemas.openxmlformats.org/officeDocument/2006/relationships" ref="B18" r:id="rId1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04040"/>
    <outlinePr summaryBelow="1" summaryRight="1"/>
    <pageSetUpPr/>
  </sheetPr>
  <dimension ref="B1:H59"/>
  <sheetViews>
    <sheetView showGridLines="0" tabSelected="0" topLeftCell="A29" workbookViewId="0">
      <selection activeCell="C16" sqref="C16"/>
    </sheetView>
  </sheetViews>
  <sheetFormatPr baseColWidth="8" defaultColWidth="11.4259259259259" defaultRowHeight="14.4"/>
  <cols>
    <col width="35.712962962963" customWidth="1" min="2" max="2"/>
    <col width="21.287037037037" customWidth="1" min="3" max="3"/>
    <col width="12.712962962963" customWidth="1" min="4" max="4"/>
    <col width="34" customWidth="1" min="5" max="5"/>
    <col width="11.5740740740741" customWidth="1" min="6" max="7"/>
    <col width="24" customWidth="1" min="7" max="7"/>
  </cols>
  <sheetData>
    <row r="1">
      <c r="B1" s="62" t="inlineStr">
        <is>
          <t>Anexo II: ESTADOS FINANCIEROS</t>
        </is>
      </c>
    </row>
    <row r="2">
      <c r="B2" s="63" t="inlineStr">
        <is>
          <t xml:space="preserve"> </t>
        </is>
      </c>
    </row>
    <row r="3">
      <c r="B3" s="64" t="n"/>
      <c r="C3" s="65" t="inlineStr">
        <is>
          <t>Histórico</t>
        </is>
      </c>
      <c r="D3" s="65" t="inlineStr">
        <is>
          <t>Histórico</t>
        </is>
      </c>
    </row>
    <row r="4">
      <c r="B4" s="66" t="inlineStr">
        <is>
          <t>ESTADO DE SITUACION FINANCIERA</t>
        </is>
      </c>
      <c r="C4" s="67" t="n">
        <v>46022</v>
      </c>
      <c r="D4" s="67" t="n">
        <v>45657</v>
      </c>
    </row>
    <row r="5">
      <c r="B5" s="66" t="n"/>
      <c r="C5" s="68" t="inlineStr">
        <is>
          <t>$</t>
        </is>
      </c>
      <c r="D5" s="68" t="inlineStr">
        <is>
          <t>$</t>
        </is>
      </c>
    </row>
    <row r="6">
      <c r="B6" s="66" t="inlineStr">
        <is>
          <t>Activo</t>
        </is>
      </c>
      <c r="C6" s="108" t="n"/>
      <c r="D6" s="108" t="n"/>
      <c r="E6" s="109" t="n"/>
    </row>
    <row r="7">
      <c r="B7" s="70" t="inlineStr">
        <is>
          <t>Caja m/n</t>
        </is>
      </c>
      <c r="C7" s="110">
        <f>'PT a Caja y DC'!B26</f>
        <v/>
      </c>
      <c r="D7" s="108" t="n">
        <v>50000</v>
      </c>
      <c r="E7" s="109" t="n"/>
      <c r="G7" s="111" t="inlineStr">
        <is>
          <t>&lt;- PT a Caja y DC</t>
        </is>
      </c>
    </row>
    <row r="8">
      <c r="B8" s="70" t="inlineStr">
        <is>
          <t>Banco</t>
        </is>
      </c>
      <c r="C8" s="112">
        <f>'PT b Banco'!B17</f>
        <v/>
      </c>
      <c r="D8" s="108" t="n">
        <v>100000</v>
      </c>
      <c r="E8" s="109" t="n"/>
      <c r="G8" s="113" t="inlineStr">
        <is>
          <t>&lt;- PT b Banco</t>
        </is>
      </c>
    </row>
    <row r="9">
      <c r="B9" s="70" t="inlineStr">
        <is>
          <t>Cheques dif a cobrar</t>
        </is>
      </c>
      <c r="C9" s="110">
        <f>'PT a Caja y DC'!B27</f>
        <v/>
      </c>
      <c r="D9" s="108" t="n">
        <v>0</v>
      </c>
      <c r="E9" s="109" t="n"/>
      <c r="F9" s="109" t="n"/>
      <c r="G9" s="111" t="inlineStr">
        <is>
          <t>&lt;- PT a Caja y DC</t>
        </is>
      </c>
    </row>
    <row r="10">
      <c r="B10" s="70" t="inlineStr">
        <is>
          <t>Ds x ventas</t>
        </is>
      </c>
      <c r="C10" s="108" t="n">
        <v>4347960</v>
      </c>
      <c r="D10" s="108" t="n">
        <v>3287000</v>
      </c>
      <c r="E10" s="109" t="n"/>
      <c r="F10" s="109" t="n"/>
    </row>
    <row r="11">
      <c r="B11" s="70" t="inlineStr">
        <is>
          <t>Seguros pagos x adel</t>
        </is>
      </c>
      <c r="C11" s="114">
        <f>'PT f Seguros'!B10</f>
        <v/>
      </c>
      <c r="D11" s="108" t="n">
        <v>0</v>
      </c>
      <c r="E11" s="109" t="n"/>
      <c r="F11" s="109" t="n"/>
      <c r="G11" s="115" t="inlineStr">
        <is>
          <t>&lt;- PT f Seguros</t>
        </is>
      </c>
    </row>
    <row r="12">
      <c r="B12" s="70" t="inlineStr">
        <is>
          <t>Inventarios</t>
        </is>
      </c>
      <c r="C12" s="116">
        <f>'PT c Stock'!I21</f>
        <v/>
      </c>
      <c r="D12" s="116">
        <f>'PT c Stock'!I22</f>
        <v/>
      </c>
      <c r="E12" s="109" t="n"/>
      <c r="G12" s="117" t="inlineStr">
        <is>
          <t>&lt;- PT c Stock</t>
        </is>
      </c>
    </row>
    <row r="13">
      <c r="B13" s="70" t="inlineStr">
        <is>
          <t>PPE</t>
        </is>
      </c>
      <c r="C13" s="118">
        <f>'PT e PPE'!C21</f>
        <v/>
      </c>
      <c r="D13" s="118">
        <f>'PT e PPE'!B21</f>
        <v/>
      </c>
      <c r="E13" s="109" t="n"/>
      <c r="G13" s="119" t="inlineStr">
        <is>
          <t>&lt;- PT e PPE</t>
        </is>
      </c>
    </row>
    <row r="14">
      <c r="B14" s="70" t="inlineStr">
        <is>
          <t>Amort. Acumuladas</t>
        </is>
      </c>
      <c r="C14" s="118">
        <f>'PT e PPE'!C22</f>
        <v/>
      </c>
      <c r="D14" s="118">
        <f>'PT e PPE'!B22</f>
        <v/>
      </c>
      <c r="E14" s="109" t="inlineStr">
        <is>
          <t>Regularizadora (se expone en negativo)</t>
        </is>
      </c>
      <c r="G14" s="119" t="inlineStr">
        <is>
          <t>&lt;- PT e PPE</t>
        </is>
      </c>
    </row>
    <row r="15">
      <c r="B15" s="70" t="inlineStr">
        <is>
          <t>Cuenta directores</t>
        </is>
      </c>
      <c r="C15" s="120">
        <f>MAX(0,SUM(C19:C26)+C36-SUM(C7:C14))</f>
        <v/>
      </c>
      <c r="D15" s="120">
        <f>MAX(0,SUM(D19:D26)+D36-SUM(D7:D14))</f>
        <v/>
      </c>
      <c r="E15" t="inlineStr">
        <is>
          <t>Por diferencia (saldo deudor: directores deben a la empresa)</t>
        </is>
      </c>
      <c r="G15" s="121" t="inlineStr">
        <is>
          <t>&lt;- plug: saldo por diferencia</t>
        </is>
      </c>
    </row>
    <row r="16">
      <c r="B16" s="66" t="inlineStr">
        <is>
          <t>Total Activo</t>
        </is>
      </c>
      <c r="C16" s="122">
        <f>SUM(C7:C15)</f>
        <v/>
      </c>
      <c r="D16" s="122">
        <f>SUM(D7:D15)</f>
        <v/>
      </c>
    </row>
    <row r="17">
      <c r="B17" s="66" t="n"/>
      <c r="C17" s="123" t="n"/>
      <c r="D17" s="108" t="n"/>
    </row>
    <row r="18">
      <c r="B18" s="66" t="inlineStr">
        <is>
          <t>Pasivo</t>
        </is>
      </c>
      <c r="C18" s="108" t="n"/>
      <c r="D18" s="108" t="n"/>
      <c r="E18" s="109" t="n"/>
      <c r="F18" s="109" t="n"/>
    </row>
    <row r="19">
      <c r="B19" s="70" t="inlineStr">
        <is>
          <t>Ac x compra locales</t>
        </is>
      </c>
      <c r="C19" s="108" t="n">
        <v>270000</v>
      </c>
      <c r="D19" s="108" t="n">
        <v>1710000</v>
      </c>
      <c r="E19" s="109" t="n"/>
    </row>
    <row r="20">
      <c r="B20" s="70" t="inlineStr">
        <is>
          <t>Seguros a pagar</t>
        </is>
      </c>
      <c r="C20" s="114">
        <f>'PT f Seguros'!B5</f>
        <v/>
      </c>
      <c r="D20" s="108" t="n">
        <v>0</v>
      </c>
      <c r="E20" s="109" t="n"/>
      <c r="G20" s="115" t="inlineStr">
        <is>
          <t>&lt;- PT f Seguros</t>
        </is>
      </c>
    </row>
    <row r="21">
      <c r="B21" s="70" t="inlineStr">
        <is>
          <t>Seguros perd a vencer</t>
        </is>
      </c>
      <c r="C21" s="114">
        <f>'PT f Seguros'!B11</f>
        <v/>
      </c>
      <c r="D21" s="108" t="n">
        <v>0</v>
      </c>
      <c r="E21" s="109" t="inlineStr">
        <is>
          <t>Regularizadora (negativa)</t>
        </is>
      </c>
      <c r="G21" s="115" t="inlineStr">
        <is>
          <t>&lt;- PT f Seguros</t>
        </is>
      </c>
    </row>
    <row r="22">
      <c r="B22" s="70" t="inlineStr">
        <is>
          <t>Ptamos a pagar</t>
        </is>
      </c>
      <c r="C22" s="124">
        <f>'PT d Prestamos'!C14</f>
        <v/>
      </c>
      <c r="D22" s="124">
        <f>'PT d Prestamos'!B14</f>
        <v/>
      </c>
      <c r="E22" s="109" t="n"/>
      <c r="G22" s="125" t="inlineStr">
        <is>
          <t>&lt;- PT d Prestamos</t>
        </is>
      </c>
    </row>
    <row r="23">
      <c r="B23" s="70" t="inlineStr">
        <is>
          <t>int a pagar</t>
        </is>
      </c>
      <c r="C23" s="124">
        <f>'PT d Prestamos'!C16</f>
        <v/>
      </c>
      <c r="D23" s="124">
        <f>'PT d Prestamos'!B16</f>
        <v/>
      </c>
      <c r="E23" s="109" t="n"/>
      <c r="G23" s="125" t="inlineStr">
        <is>
          <t>&lt;- PT d Prestamos</t>
        </is>
      </c>
    </row>
    <row r="24">
      <c r="B24" s="70" t="inlineStr">
        <is>
          <t>int perd a vcer</t>
        </is>
      </c>
      <c r="C24" s="124">
        <f>'PT d Prestamos'!C17</f>
        <v/>
      </c>
      <c r="D24" s="124">
        <f>'PT d Prestamos'!B17</f>
        <v/>
      </c>
      <c r="E24" s="109" t="inlineStr">
        <is>
          <t>Regularizadora (negativa)</t>
        </is>
      </c>
      <c r="G24" s="125" t="inlineStr">
        <is>
          <t>&lt;- PT d Prestamos</t>
        </is>
      </c>
    </row>
    <row r="25">
      <c r="B25" s="70" t="inlineStr">
        <is>
          <t>Prestamo a largo plazo</t>
        </is>
      </c>
      <c r="C25" s="124">
        <f>'PT d Prestamos'!C15</f>
        <v/>
      </c>
      <c r="D25" s="108" t="n">
        <v>250000</v>
      </c>
      <c r="E25" s="109" t="n"/>
      <c r="F25" s="109" t="n"/>
      <c r="G25" s="125" t="inlineStr">
        <is>
          <t>&lt;- PT d Prestamos</t>
        </is>
      </c>
    </row>
    <row r="26">
      <c r="B26" s="70" t="inlineStr">
        <is>
          <t>Deudas Diversas</t>
        </is>
      </c>
      <c r="C26" s="108" t="n">
        <v>650500</v>
      </c>
      <c r="D26" s="108" t="n">
        <v>500000</v>
      </c>
      <c r="E26" s="109" t="n"/>
      <c r="F26" s="109" t="n"/>
    </row>
    <row r="27">
      <c r="B27" s="70" t="inlineStr">
        <is>
          <t>Cuenta directores</t>
        </is>
      </c>
      <c r="C27" s="120">
        <f>MAX(0,SUM(C7:C14)-SUM(C19:C26)-C36)</f>
        <v/>
      </c>
      <c r="D27" s="120">
        <f>MAX(0,SUM(D7:D14)-SUM(D19:D26)-D36)</f>
        <v/>
      </c>
      <c r="E27" s="109" t="inlineStr">
        <is>
          <t>Por diferencia (0 si el activo excede)</t>
        </is>
      </c>
      <c r="G27" s="126" t="n"/>
    </row>
    <row r="28" ht="17.1" customHeight="1">
      <c r="B28" s="66" t="inlineStr">
        <is>
          <t>Total Pasivo</t>
        </is>
      </c>
      <c r="C28" s="122">
        <f>SUM(C19:C27)</f>
        <v/>
      </c>
      <c r="D28" s="122">
        <f>SUM(D19:D27)</f>
        <v/>
      </c>
      <c r="E28" s="109" t="n"/>
      <c r="G28" s="109" t="n"/>
    </row>
    <row r="29">
      <c r="B29" s="66" t="n"/>
      <c r="C29" s="123" t="n"/>
      <c r="D29" s="108" t="n"/>
      <c r="E29" s="109" t="n"/>
      <c r="G29" s="109" t="n"/>
    </row>
    <row r="30">
      <c r="B30" s="66" t="inlineStr">
        <is>
          <t>Patrimonio</t>
        </is>
      </c>
      <c r="C30" s="108" t="n"/>
      <c r="D30" s="108" t="n"/>
      <c r="E30" s="109" t="n"/>
      <c r="F30" s="109" t="n"/>
    </row>
    <row r="31">
      <c r="B31" s="70" t="inlineStr">
        <is>
          <t>Capital</t>
        </is>
      </c>
      <c r="C31" s="127">
        <f>'PT g Patrimonio'!B13</f>
        <v/>
      </c>
      <c r="D31" s="108" t="n">
        <v>2600000</v>
      </c>
      <c r="E31" s="128" t="n"/>
      <c r="F31" s="109" t="n"/>
      <c r="G31" s="129" t="inlineStr">
        <is>
          <t>&lt;- PT g Patrimonio</t>
        </is>
      </c>
    </row>
    <row r="32">
      <c r="B32" s="70" t="inlineStr">
        <is>
          <t>Aportes a Capitalizar</t>
        </is>
      </c>
      <c r="C32" s="127">
        <f>'PT g Patrimonio'!B14</f>
        <v/>
      </c>
      <c r="D32" s="108" t="n">
        <v>400000</v>
      </c>
      <c r="E32" s="109" t="n"/>
      <c r="F32" s="109" t="n"/>
      <c r="G32" s="129" t="inlineStr">
        <is>
          <t>&lt;- PT g Patrimonio</t>
        </is>
      </c>
    </row>
    <row r="33">
      <c r="B33" s="70" t="inlineStr">
        <is>
          <t>Reserva legal</t>
        </is>
      </c>
      <c r="C33" s="127">
        <f>D33+'PT g Patrimonio'!B4</f>
        <v/>
      </c>
      <c r="D33" s="108" t="n">
        <v>15000</v>
      </c>
      <c r="E33" s="109" t="n"/>
      <c r="F33" s="109" t="n"/>
      <c r="G33" s="129" t="inlineStr">
        <is>
          <t>&lt;- PT g Patrimonio</t>
        </is>
      </c>
    </row>
    <row r="34">
      <c r="B34" s="70" t="inlineStr">
        <is>
          <t>Resultados Acumulados</t>
        </is>
      </c>
      <c r="C34" s="127">
        <f>'PT g Patrimonio'!B7</f>
        <v/>
      </c>
      <c r="D34" s="108" t="n">
        <v>0</v>
      </c>
      <c r="E34" s="75" t="inlineStr">
        <is>
          <t>Remanente no distribuido 30/06/25</t>
        </is>
      </c>
      <c r="F34" s="109" t="n"/>
      <c r="G34" s="129" t="inlineStr">
        <is>
          <t>&lt;- PT g Patrimonio</t>
        </is>
      </c>
      <c r="H34" s="109" t="n"/>
    </row>
    <row r="35">
      <c r="B35" s="70" t="inlineStr">
        <is>
          <t>Resultados del Ejercicio</t>
        </is>
      </c>
      <c r="C35" s="130">
        <f>C54</f>
        <v/>
      </c>
      <c r="D35" s="108" t="n">
        <v>800000</v>
      </c>
      <c r="E35" s="109" t="n"/>
      <c r="F35" s="109" t="n"/>
      <c r="G35" s="109" t="n"/>
      <c r="H35" s="109" t="n"/>
    </row>
    <row r="36">
      <c r="B36" s="66" t="inlineStr">
        <is>
          <t>Total Patrimonio</t>
        </is>
      </c>
      <c r="C36" s="122">
        <f>SUM(C31:C35)</f>
        <v/>
      </c>
      <c r="D36" s="122">
        <f>SUM(D31:D35)</f>
        <v/>
      </c>
      <c r="E36" s="109" t="n"/>
      <c r="F36" s="109" t="n"/>
      <c r="H36" s="109" t="n"/>
    </row>
    <row r="37">
      <c r="B37" s="66" t="inlineStr">
        <is>
          <t>Total Pasivo y Patrimonio</t>
        </is>
      </c>
      <c r="C37" s="122">
        <f>C28+C36</f>
        <v/>
      </c>
      <c r="D37" s="122">
        <f>D28+D36</f>
        <v/>
      </c>
    </row>
    <row r="38">
      <c r="B38" s="76" t="n"/>
      <c r="C38" s="131" t="n"/>
      <c r="D38" s="132" t="n"/>
    </row>
    <row r="39">
      <c r="B39" s="76" t="n"/>
      <c r="C39" s="131" t="n"/>
      <c r="D39" s="132" t="n"/>
    </row>
    <row r="40">
      <c r="B40" s="76" t="inlineStr">
        <is>
          <t>ESTADO DE RESULTADOS 2025</t>
        </is>
      </c>
      <c r="C40" s="131" t="n"/>
      <c r="D40" s="132" t="n"/>
    </row>
    <row r="41">
      <c r="B41" s="70" t="inlineStr">
        <is>
          <t>Ventas</t>
        </is>
      </c>
      <c r="C41" s="108" t="n">
        <v>4120960</v>
      </c>
      <c r="D41" s="132" t="n"/>
    </row>
    <row r="42">
      <c r="B42" s="70" t="inlineStr">
        <is>
          <t>Costo de Ventas</t>
        </is>
      </c>
      <c r="C42" s="116">
        <f>-'PT c Stock'!I23</f>
        <v/>
      </c>
      <c r="D42" s="132" t="n"/>
      <c r="G42" s="117" t="inlineStr">
        <is>
          <t>&lt;- PT c Stock</t>
        </is>
      </c>
    </row>
    <row r="43">
      <c r="B43" s="66" t="inlineStr">
        <is>
          <t>Utilidad Bruta</t>
        </is>
      </c>
      <c r="C43" s="122">
        <f>C41+C42</f>
        <v/>
      </c>
      <c r="D43" s="133" t="n"/>
    </row>
    <row r="44">
      <c r="B44" s="70" t="inlineStr">
        <is>
          <t>Amortizaciones</t>
        </is>
      </c>
      <c r="C44" s="118">
        <f>-'PT e PPE'!F11</f>
        <v/>
      </c>
      <c r="D44" s="132" t="n"/>
      <c r="G44" s="119" t="inlineStr">
        <is>
          <t>&lt;- PT e PPE</t>
        </is>
      </c>
    </row>
    <row r="45">
      <c r="B45" s="70" t="inlineStr">
        <is>
          <t>Gastos Adm y Ventas</t>
        </is>
      </c>
      <c r="C45" s="108" t="n">
        <v>-585663</v>
      </c>
      <c r="D45" s="132" t="n"/>
    </row>
    <row r="46">
      <c r="B46" s="70" t="inlineStr">
        <is>
          <t>Seguros</t>
        </is>
      </c>
      <c r="C46" s="114">
        <f>-'PT f Seguros'!B8</f>
        <v/>
      </c>
      <c r="D46" s="132" t="n"/>
      <c r="G46" s="115" t="inlineStr">
        <is>
          <t>&lt;- PT f Seguros</t>
        </is>
      </c>
    </row>
    <row r="47">
      <c r="B47" s="70" t="inlineStr">
        <is>
          <t>Diferencia de stock</t>
        </is>
      </c>
      <c r="C47" s="116">
        <f>-'PT c Stock'!I19</f>
        <v/>
      </c>
      <c r="D47" s="132" t="n"/>
      <c r="G47" s="117" t="inlineStr">
        <is>
          <t>&lt;- PT c Stock</t>
        </is>
      </c>
    </row>
    <row r="48">
      <c r="B48" s="70" t="inlineStr">
        <is>
          <t>Faltante de caja</t>
        </is>
      </c>
      <c r="C48" s="110">
        <f>'PT a Caja y DC'!B24</f>
        <v/>
      </c>
      <c r="D48" s="132" t="n"/>
      <c r="G48" s="111" t="inlineStr">
        <is>
          <t>&lt;- PT a Caja y DC</t>
        </is>
      </c>
    </row>
    <row r="49">
      <c r="B49" s="70" t="inlineStr">
        <is>
          <t>Resultado por vta ppe</t>
        </is>
      </c>
      <c r="C49" s="118">
        <f>'PT e PPE'!B18</f>
        <v/>
      </c>
      <c r="D49" s="132" t="n"/>
      <c r="G49" s="119" t="inlineStr">
        <is>
          <t>&lt;- PT e PPE</t>
        </is>
      </c>
    </row>
    <row r="50">
      <c r="B50" s="70" t="inlineStr">
        <is>
          <t>D/C gda</t>
        </is>
      </c>
      <c r="C50" s="110">
        <f>'PT a Caja y DC'!B35</f>
        <v/>
      </c>
      <c r="D50" s="132" t="n"/>
      <c r="G50" s="111" t="inlineStr">
        <is>
          <t>&lt;- PT a Caja y DC</t>
        </is>
      </c>
    </row>
    <row r="51">
      <c r="B51" s="70" t="inlineStr">
        <is>
          <t>Intereses perdidos</t>
        </is>
      </c>
      <c r="C51" s="124">
        <f>-'PT d Prestamos'!B19</f>
        <v/>
      </c>
      <c r="D51" s="132" t="n"/>
      <c r="G51" s="125" t="inlineStr">
        <is>
          <t>&lt;- PT d Prestamos</t>
        </is>
      </c>
    </row>
    <row r="52">
      <c r="B52" s="70" t="n"/>
      <c r="C52" s="108" t="n"/>
      <c r="D52" s="132" t="n"/>
    </row>
    <row r="53">
      <c r="B53" s="79" t="n"/>
      <c r="C53" s="134" t="n"/>
      <c r="D53" s="132" t="n"/>
      <c r="G53" s="109" t="n"/>
      <c r="H53" s="109" t="n"/>
    </row>
    <row r="54">
      <c r="B54" s="66" t="inlineStr">
        <is>
          <t>Resultado Ejercicio</t>
        </is>
      </c>
      <c r="C54" s="122">
        <f>C43+SUM(C44:C51)</f>
        <v/>
      </c>
      <c r="D54" s="133" t="n"/>
      <c r="H54" s="109" t="n"/>
    </row>
    <row r="55">
      <c r="B55" s="63" t="inlineStr">
        <is>
          <t xml:space="preserve"> </t>
        </is>
      </c>
      <c r="C55" s="132" t="n"/>
      <c r="D55" s="132" t="n"/>
    </row>
    <row r="56">
      <c r="C56" s="81" t="inlineStr">
        <is>
          <t>Resultado Ejercicio</t>
        </is>
      </c>
      <c r="D56" s="135">
        <f>C54-C35</f>
        <v/>
      </c>
      <c r="E56" s="136" t="inlineStr">
        <is>
          <t>&lt;- control ER vs ESF (debe ser 0)</t>
        </is>
      </c>
    </row>
    <row r="57">
      <c r="D57" s="109" t="n"/>
    </row>
    <row r="58">
      <c r="B58" s="137" t="inlineStr">
        <is>
          <t>Referencias: color = papel de trabajo de origen (ver hoja Indice). Gris = calculo entre cuentas. Rosa = saldo por diferencia (cuenta directores). Sin color = dato de la consigna.</t>
        </is>
      </c>
      <c r="D58" s="109" t="n"/>
    </row>
    <row r="59">
      <c r="D59" s="109" t="n"/>
    </row>
  </sheetData>
  <hyperlinks>
    <hyperlink xmlns:r="http://schemas.openxmlformats.org/officeDocument/2006/relationships" ref="G7" r:id="rId1"/>
    <hyperlink xmlns:r="http://schemas.openxmlformats.org/officeDocument/2006/relationships" ref="G8" r:id="rId2"/>
    <hyperlink xmlns:r="http://schemas.openxmlformats.org/officeDocument/2006/relationships" ref="G9" r:id="rId3"/>
    <hyperlink xmlns:r="http://schemas.openxmlformats.org/officeDocument/2006/relationships" ref="G11" r:id="rId4"/>
    <hyperlink xmlns:r="http://schemas.openxmlformats.org/officeDocument/2006/relationships" ref="G12" r:id="rId5"/>
    <hyperlink xmlns:r="http://schemas.openxmlformats.org/officeDocument/2006/relationships" ref="G13" r:id="rId6"/>
    <hyperlink xmlns:r="http://schemas.openxmlformats.org/officeDocument/2006/relationships" ref="G14" r:id="rId7"/>
    <hyperlink xmlns:r="http://schemas.openxmlformats.org/officeDocument/2006/relationships" ref="G20" r:id="rId8"/>
    <hyperlink xmlns:r="http://schemas.openxmlformats.org/officeDocument/2006/relationships" ref="G21" r:id="rId9"/>
    <hyperlink xmlns:r="http://schemas.openxmlformats.org/officeDocument/2006/relationships" ref="G22" r:id="rId10"/>
    <hyperlink xmlns:r="http://schemas.openxmlformats.org/officeDocument/2006/relationships" ref="G23" r:id="rId11"/>
    <hyperlink xmlns:r="http://schemas.openxmlformats.org/officeDocument/2006/relationships" ref="G24" r:id="rId12"/>
    <hyperlink xmlns:r="http://schemas.openxmlformats.org/officeDocument/2006/relationships" ref="G25" r:id="rId13"/>
    <hyperlink xmlns:r="http://schemas.openxmlformats.org/officeDocument/2006/relationships" ref="G31" r:id="rId14"/>
    <hyperlink xmlns:r="http://schemas.openxmlformats.org/officeDocument/2006/relationships" ref="G32" r:id="rId15"/>
    <hyperlink xmlns:r="http://schemas.openxmlformats.org/officeDocument/2006/relationships" ref="G33" r:id="rId16"/>
    <hyperlink xmlns:r="http://schemas.openxmlformats.org/officeDocument/2006/relationships" ref="G34" r:id="rId17"/>
    <hyperlink xmlns:r="http://schemas.openxmlformats.org/officeDocument/2006/relationships" ref="G42" r:id="rId18"/>
    <hyperlink xmlns:r="http://schemas.openxmlformats.org/officeDocument/2006/relationships" ref="G44" r:id="rId19"/>
    <hyperlink xmlns:r="http://schemas.openxmlformats.org/officeDocument/2006/relationships" ref="G46" r:id="rId20"/>
    <hyperlink xmlns:r="http://schemas.openxmlformats.org/officeDocument/2006/relationships" ref="G47" r:id="rId21"/>
    <hyperlink xmlns:r="http://schemas.openxmlformats.org/officeDocument/2006/relationships" ref="G48" r:id="rId22"/>
    <hyperlink xmlns:r="http://schemas.openxmlformats.org/officeDocument/2006/relationships" ref="G49" r:id="rId23"/>
    <hyperlink xmlns:r="http://schemas.openxmlformats.org/officeDocument/2006/relationships" ref="G50" r:id="rId24"/>
    <hyperlink xmlns:r="http://schemas.openxmlformats.org/officeDocument/2006/relationships" ref="G51" r:id="rId25"/>
  </hyperlink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rgb="00404040"/>
    <outlinePr summaryBelow="1" summaryRight="1"/>
    <pageSetUpPr fitToPage="1"/>
  </sheetPr>
  <dimension ref="A1:M36"/>
  <sheetViews>
    <sheetView showGridLines="0" tabSelected="0" topLeftCell="A13" workbookViewId="0">
      <selection activeCell="F35" sqref="F35"/>
    </sheetView>
  </sheetViews>
  <sheetFormatPr baseColWidth="8" defaultColWidth="11" defaultRowHeight="14.4"/>
  <cols>
    <col width="3.85185185185185" customWidth="1" min="1" max="1"/>
    <col width="6.85185185185185" customWidth="1" min="2" max="2"/>
    <col width="4" customWidth="1" min="3" max="3"/>
    <col width="6.13888888888889" customWidth="1" min="4" max="4"/>
    <col width="59.287037037037" customWidth="1" min="6" max="6"/>
  </cols>
  <sheetData>
    <row r="1">
      <c r="A1" s="138" t="inlineStr">
        <is>
          <t>ESTADO DE CAMBIOS EN EL PATRIMONIO</t>
        </is>
      </c>
      <c r="B1" s="139" t="n"/>
      <c r="C1" s="139" t="n"/>
      <c r="D1" s="139" t="n"/>
      <c r="E1" s="139" t="n"/>
      <c r="F1" s="140" t="n"/>
      <c r="G1" s="21" t="n"/>
      <c r="H1" s="21" t="n"/>
      <c r="I1" s="21" t="n"/>
      <c r="J1" s="21" t="n"/>
      <c r="K1" s="21" t="n"/>
      <c r="L1" s="21" t="n"/>
    </row>
    <row r="2" ht="15.15" customHeight="1">
      <c r="A2" s="141" t="n"/>
      <c r="B2" s="142" t="n"/>
      <c r="C2" s="142" t="n"/>
      <c r="D2" s="142" t="n"/>
      <c r="E2" s="142" t="n"/>
      <c r="F2" s="143" t="n"/>
      <c r="G2" s="21" t="n"/>
      <c r="H2" s="21" t="n"/>
      <c r="I2" s="21" t="n"/>
      <c r="J2" s="21" t="n"/>
      <c r="K2" s="21" t="n"/>
      <c r="L2" s="21" t="n"/>
    </row>
    <row r="3">
      <c r="A3" s="25" t="n"/>
      <c r="B3" s="25" t="n"/>
      <c r="C3" s="25" t="n"/>
      <c r="D3" s="25" t="n"/>
      <c r="E3" s="25" t="n"/>
      <c r="F3" s="25" t="n"/>
      <c r="G3" s="21" t="n"/>
      <c r="H3" s="21" t="n"/>
      <c r="I3" s="21" t="n"/>
      <c r="J3" s="21" t="n"/>
      <c r="K3" s="21" t="n"/>
      <c r="L3" s="21" t="n"/>
    </row>
    <row r="4">
      <c r="A4" s="25" t="n"/>
      <c r="B4" s="25" t="n"/>
      <c r="C4" s="25" t="n"/>
      <c r="D4" s="25" t="n"/>
      <c r="E4" s="25" t="n"/>
      <c r="F4" s="25" t="n"/>
      <c r="G4" s="144" t="inlineStr">
        <is>
          <t xml:space="preserve">Patrimonio </t>
        </is>
      </c>
      <c r="H4" s="145" t="n"/>
      <c r="I4" s="145" t="n"/>
      <c r="J4" s="145" t="n"/>
      <c r="K4" s="145" t="n"/>
      <c r="L4" s="146" t="n"/>
    </row>
    <row r="5">
      <c r="A5" s="25" t="n"/>
      <c r="B5" s="25" t="n"/>
      <c r="C5" s="25" t="n"/>
      <c r="D5" s="25" t="n"/>
      <c r="E5" s="25" t="n"/>
      <c r="F5" s="25" t="n"/>
      <c r="G5" s="144" t="inlineStr">
        <is>
          <t>Patrimonio atribuible a los propietarios de la controladora</t>
        </is>
      </c>
      <c r="H5" s="145" t="n"/>
      <c r="I5" s="145" t="n"/>
      <c r="J5" s="145" t="n"/>
      <c r="K5" s="145" t="n"/>
      <c r="L5" s="146" t="n"/>
    </row>
    <row r="6" ht="41.4" customHeight="1">
      <c r="A6" s="25" t="n"/>
      <c r="B6" s="25" t="n"/>
      <c r="C6" s="25" t="n"/>
      <c r="D6" s="25" t="n"/>
      <c r="E6" s="25" t="n"/>
      <c r="F6" s="25" t="n"/>
      <c r="G6" s="29" t="inlineStr">
        <is>
          <t xml:space="preserve">Capital Integrado </t>
        </is>
      </c>
      <c r="H6" s="29" t="inlineStr">
        <is>
          <t>Aportes a capitalizar</t>
        </is>
      </c>
      <c r="I6" s="29" t="inlineStr">
        <is>
          <t xml:space="preserve">Ajustes al patrimonio </t>
        </is>
      </c>
      <c r="J6" s="29" t="inlineStr">
        <is>
          <t>Reservas de utilidades</t>
        </is>
      </c>
      <c r="K6" s="29" t="inlineStr">
        <is>
          <t>Resultados acumulados</t>
        </is>
      </c>
      <c r="L6" s="30" t="inlineStr">
        <is>
          <t>Total</t>
        </is>
      </c>
    </row>
    <row r="7">
      <c r="A7" s="147" t="inlineStr">
        <is>
          <t>Periodo 01/01/2025 al 31/12/2025</t>
        </is>
      </c>
      <c r="B7" s="145" t="n"/>
      <c r="C7" s="145" t="n"/>
      <c r="D7" s="145" t="n"/>
      <c r="E7" s="145" t="n"/>
      <c r="F7" s="146" t="n"/>
      <c r="G7" s="148" t="n"/>
      <c r="H7" s="148" t="n"/>
      <c r="I7" s="148" t="n"/>
      <c r="J7" s="148" t="n"/>
      <c r="K7" s="148" t="n"/>
      <c r="L7" s="148" t="n"/>
    </row>
    <row r="8">
      <c r="A8" s="35" t="n"/>
      <c r="B8" s="53" t="inlineStr">
        <is>
          <t>Estado de cambios en el patrimonio [resumen]</t>
        </is>
      </c>
      <c r="C8" s="145" t="n"/>
      <c r="D8" s="145" t="n"/>
      <c r="E8" s="145" t="n"/>
      <c r="F8" s="146" t="n"/>
      <c r="G8" s="148" t="n"/>
      <c r="H8" s="148" t="n"/>
      <c r="I8" s="148" t="n"/>
      <c r="J8" s="148" t="n"/>
      <c r="K8" s="148" t="n"/>
      <c r="L8" s="148" t="n"/>
    </row>
    <row r="9">
      <c r="A9" s="35" t="n"/>
      <c r="B9" s="35" t="n"/>
      <c r="C9" s="53" t="inlineStr">
        <is>
          <t>Estado de cambios en el patrimonio [partidas]</t>
        </is>
      </c>
      <c r="D9" s="145" t="n"/>
      <c r="E9" s="145" t="n"/>
      <c r="F9" s="146" t="n"/>
      <c r="G9" s="148" t="n"/>
      <c r="H9" s="148" t="n"/>
      <c r="I9" s="148" t="n"/>
      <c r="J9" s="148" t="n"/>
      <c r="K9" s="148" t="n"/>
      <c r="L9" s="148" t="n"/>
    </row>
    <row r="10">
      <c r="A10" s="39" t="n"/>
      <c r="B10" s="39" t="n"/>
      <c r="C10" s="39" t="n"/>
      <c r="D10" s="40" t="inlineStr">
        <is>
          <t>Saldo inicial de patrimonio</t>
        </is>
      </c>
      <c r="E10" s="149" t="n"/>
      <c r="F10" s="150" t="n"/>
      <c r="G10" s="151">
        <f>'ESF Y ER 2025 LETRA'!D31</f>
        <v/>
      </c>
      <c r="H10" s="151">
        <f>'ESF Y ER 2025 LETRA'!D32</f>
        <v/>
      </c>
      <c r="I10" s="152" t="n">
        <v>0</v>
      </c>
      <c r="J10" s="151">
        <f>'ESF Y ER 2025 LETRA'!D33</f>
        <v/>
      </c>
      <c r="K10" s="151">
        <f>'ESF Y ER 2025 LETRA'!D34+'ESF Y ER 2025 LETRA'!D35</f>
        <v/>
      </c>
      <c r="L10" s="151">
        <f>SUM(G10:K10)</f>
        <v/>
      </c>
    </row>
    <row r="11">
      <c r="A11" s="35" t="n"/>
      <c r="B11" s="35" t="n"/>
      <c r="C11" s="35" t="n"/>
      <c r="D11" s="153" t="inlineStr">
        <is>
          <t>Cambios en el patrimonio [resumen]</t>
        </is>
      </c>
      <c r="E11" s="145" t="n"/>
      <c r="F11" s="146" t="n"/>
      <c r="G11" s="148" t="n"/>
      <c r="H11" s="148" t="n"/>
      <c r="I11" s="148" t="n"/>
      <c r="J11" s="148" t="n"/>
      <c r="K11" s="148" t="n"/>
      <c r="L11" s="154" t="n"/>
    </row>
    <row r="12">
      <c r="A12" s="35" t="n"/>
      <c r="B12" s="35" t="n"/>
      <c r="C12" s="35" t="n"/>
      <c r="D12" s="35" t="n"/>
      <c r="E12" s="46" t="inlineStr">
        <is>
          <t>Ajuste por cambios en políticas contables</t>
        </is>
      </c>
      <c r="F12" s="150" t="n"/>
      <c r="G12" s="155" t="n">
        <v>0</v>
      </c>
      <c r="H12" s="155" t="n">
        <v>0</v>
      </c>
      <c r="I12" s="155" t="n">
        <v>0</v>
      </c>
      <c r="J12" s="155" t="n">
        <v>0</v>
      </c>
      <c r="K12" s="156" t="n">
        <v>0</v>
      </c>
      <c r="L12" s="157">
        <f>SUM(G12:K12)</f>
        <v/>
      </c>
    </row>
    <row r="13">
      <c r="A13" s="35" t="n"/>
      <c r="B13" s="35" t="n"/>
      <c r="C13" s="35" t="n"/>
      <c r="D13" s="35" t="n"/>
      <c r="E13" s="46" t="inlineStr">
        <is>
          <t>Ajuste por corrección de errores</t>
        </is>
      </c>
      <c r="F13" s="150" t="n"/>
      <c r="G13" s="158" t="n">
        <v>0</v>
      </c>
      <c r="H13" s="158" t="n">
        <v>0</v>
      </c>
      <c r="I13" s="158" t="n">
        <v>0</v>
      </c>
      <c r="J13" s="158" t="n">
        <v>0</v>
      </c>
      <c r="K13" s="159" t="n">
        <v>0</v>
      </c>
      <c r="L13" s="160">
        <f>SUM(G13:K13)</f>
        <v/>
      </c>
    </row>
    <row r="14">
      <c r="A14" s="39" t="n"/>
      <c r="B14" s="39" t="n"/>
      <c r="C14" s="39" t="n"/>
      <c r="D14" s="39" t="n"/>
      <c r="E14" s="40" t="inlineStr">
        <is>
          <t>Saldo inicial modificado por cambios en políticas contables y corrección de errores</t>
        </is>
      </c>
      <c r="F14" s="150" t="n"/>
      <c r="G14" s="151">
        <f>+G10+G12+G13</f>
        <v/>
      </c>
      <c r="H14" s="151">
        <f>+H10+H12+H13</f>
        <v/>
      </c>
      <c r="I14" s="151">
        <f>+I10+I12+I13</f>
        <v/>
      </c>
      <c r="J14" s="151">
        <f>+J10+J12+J13</f>
        <v/>
      </c>
      <c r="K14" s="151">
        <f>+K10+K12+K13</f>
        <v/>
      </c>
      <c r="L14" s="151">
        <f>+L10+L12+L13</f>
        <v/>
      </c>
    </row>
    <row r="15">
      <c r="A15" s="35" t="n"/>
      <c r="B15" s="35" t="n"/>
      <c r="C15" s="35" t="n"/>
      <c r="D15" s="35" t="n"/>
      <c r="E15" s="153" t="inlineStr">
        <is>
          <t>Resultado integral [resumen]</t>
        </is>
      </c>
      <c r="F15" s="146" t="n"/>
      <c r="G15" s="148" t="n"/>
      <c r="H15" s="148" t="n"/>
      <c r="I15" s="148" t="n"/>
      <c r="J15" s="148" t="n"/>
      <c r="K15" s="148" t="n"/>
      <c r="L15" s="148" t="n"/>
    </row>
    <row r="16">
      <c r="A16" s="35" t="n"/>
      <c r="B16" s="35" t="n"/>
      <c r="C16" s="35" t="n"/>
      <c r="D16" s="35" t="n"/>
      <c r="E16" s="35" t="n"/>
      <c r="F16" s="53" t="inlineStr">
        <is>
          <t>Resultado del ejercicio</t>
        </is>
      </c>
      <c r="G16" s="161" t="n"/>
      <c r="H16" s="161" t="n"/>
      <c r="I16" s="161" t="n"/>
      <c r="J16" s="161" t="n"/>
      <c r="K16" s="162">
        <f>'ESF Y ER 2025 LETRA'!C54</f>
        <v/>
      </c>
      <c r="L16" s="157">
        <f>SUM(G16:K16)</f>
        <v/>
      </c>
    </row>
    <row r="17" ht="16.5" customHeight="1">
      <c r="A17" s="35" t="n"/>
      <c r="B17" s="35" t="n"/>
      <c r="C17" s="35" t="n"/>
      <c r="D17" s="35" t="n"/>
      <c r="E17" s="35" t="n"/>
      <c r="F17" s="53" t="inlineStr">
        <is>
          <t>Otro resultado integral</t>
        </is>
      </c>
      <c r="G17" s="158" t="n">
        <v>0</v>
      </c>
      <c r="H17" s="158" t="n">
        <v>0</v>
      </c>
      <c r="I17" s="158" t="n">
        <v>0</v>
      </c>
      <c r="J17" s="158" t="n">
        <v>0</v>
      </c>
      <c r="K17" s="158" t="n">
        <v>0</v>
      </c>
      <c r="L17" s="160">
        <f>SUM(G17:K17)</f>
        <v/>
      </c>
    </row>
    <row r="18">
      <c r="A18" s="39" t="n"/>
      <c r="B18" s="39" t="n"/>
      <c r="C18" s="39" t="n"/>
      <c r="D18" s="39" t="n"/>
      <c r="E18" s="40" t="n"/>
      <c r="F18" s="40" t="inlineStr">
        <is>
          <t>Total resultado integral</t>
        </is>
      </c>
      <c r="G18" s="151">
        <f>+G16+G17</f>
        <v/>
      </c>
      <c r="H18" s="151">
        <f>+H16+H17</f>
        <v/>
      </c>
      <c r="I18" s="151">
        <f>+I16+I17</f>
        <v/>
      </c>
      <c r="J18" s="151">
        <f>+J16+J17</f>
        <v/>
      </c>
      <c r="K18" s="151">
        <f>+K16+K17</f>
        <v/>
      </c>
      <c r="L18" s="151">
        <f>+L16+L17</f>
        <v/>
      </c>
    </row>
    <row r="19">
      <c r="A19" s="35" t="n"/>
      <c r="B19" s="35" t="n"/>
      <c r="C19" s="35" t="n"/>
      <c r="D19" s="35" t="n"/>
      <c r="E19" s="46" t="inlineStr">
        <is>
          <t>Aportes de capital</t>
        </is>
      </c>
      <c r="F19" s="150" t="n"/>
      <c r="G19" s="163">
        <f>'PT g Patrimonio'!B12</f>
        <v/>
      </c>
      <c r="H19" s="164" t="n">
        <v>200000</v>
      </c>
      <c r="I19" s="164" t="n">
        <v>0</v>
      </c>
      <c r="J19" s="164" t="n">
        <v>0</v>
      </c>
      <c r="K19" s="164" t="n">
        <v>0</v>
      </c>
      <c r="L19" s="165">
        <f>SUM(G19:K19)</f>
        <v/>
      </c>
    </row>
    <row r="20">
      <c r="A20" s="35" t="n"/>
      <c r="B20" s="35" t="n"/>
      <c r="C20" s="35" t="n"/>
      <c r="D20" s="35" t="n"/>
      <c r="E20" s="46" t="inlineStr">
        <is>
          <t>Incrementos (disminuciones) de reserva de utilidades</t>
        </is>
      </c>
      <c r="F20" s="150" t="n"/>
      <c r="G20" s="161" t="n">
        <v>0</v>
      </c>
      <c r="H20" s="161" t="n">
        <v>0</v>
      </c>
      <c r="I20" s="161" t="n">
        <v>0</v>
      </c>
      <c r="J20" s="163">
        <f>'PT g Patrimonio'!B4</f>
        <v/>
      </c>
      <c r="K20" s="163">
        <f>-'PT g Patrimonio'!B4</f>
        <v/>
      </c>
      <c r="L20" s="165">
        <f>SUM(G20:K20)</f>
        <v/>
      </c>
      <c r="M20" s="109" t="n"/>
    </row>
    <row r="21">
      <c r="A21" s="35" t="n"/>
      <c r="B21" s="35" t="n"/>
      <c r="C21" s="35" t="n"/>
      <c r="D21" s="35" t="n"/>
      <c r="E21" s="46" t="inlineStr">
        <is>
          <t>Dividendos reconocidos como distribuciones a los propietarios</t>
        </is>
      </c>
      <c r="F21" s="150" t="n"/>
      <c r="G21" s="164" t="n">
        <v>0</v>
      </c>
      <c r="H21" s="163">
        <f>'PT g Patrimonio'!B5</f>
        <v/>
      </c>
      <c r="I21" s="164" t="n">
        <v>0</v>
      </c>
      <c r="J21" s="164" t="n">
        <v>0</v>
      </c>
      <c r="K21" s="163">
        <f>-('PT g Patrimonio'!B5+'PT g Patrimonio'!B6)</f>
        <v/>
      </c>
      <c r="L21" s="165">
        <f>SUM(G21:K21)</f>
        <v/>
      </c>
    </row>
    <row r="22">
      <c r="A22" s="35" t="n"/>
      <c r="B22" s="35" t="n"/>
      <c r="C22" s="35" t="n"/>
      <c r="D22" s="35" t="n"/>
      <c r="E22" s="46" t="inlineStr">
        <is>
          <t>Incrementos por otras aportaciones de los propietarios, patrimonio</t>
        </is>
      </c>
      <c r="F22" s="150" t="n"/>
      <c r="G22" s="161" t="n">
        <v>0</v>
      </c>
      <c r="H22" s="161" t="n">
        <v>0</v>
      </c>
      <c r="I22" s="161" t="n">
        <v>0</v>
      </c>
      <c r="J22" s="161" t="n">
        <v>0</v>
      </c>
      <c r="K22" s="161" t="n">
        <v>0</v>
      </c>
      <c r="L22" s="165">
        <f>SUM(G22:K22)</f>
        <v/>
      </c>
    </row>
    <row r="23">
      <c r="A23" s="35" t="n"/>
      <c r="B23" s="35" t="n"/>
      <c r="C23" s="35" t="n"/>
      <c r="D23" s="35" t="n"/>
      <c r="E23" s="46" t="inlineStr">
        <is>
          <t>Disminuciones por otras distribuciones a los propietarios, patrimonio</t>
        </is>
      </c>
      <c r="F23" s="150" t="n"/>
      <c r="G23" s="164" t="n">
        <v>0</v>
      </c>
      <c r="H23" s="164" t="n">
        <v>0</v>
      </c>
      <c r="I23" s="164" t="n">
        <v>0</v>
      </c>
      <c r="J23" s="164" t="n">
        <v>0</v>
      </c>
      <c r="K23" s="164" t="n">
        <v>0</v>
      </c>
      <c r="L23" s="165">
        <f>SUM(G23:K23)</f>
        <v/>
      </c>
    </row>
    <row r="24">
      <c r="A24" s="35" t="n"/>
      <c r="B24" s="35" t="n"/>
      <c r="C24" s="35" t="n"/>
      <c r="D24" s="35" t="n"/>
      <c r="E24" s="58" t="inlineStr">
        <is>
          <t xml:space="preserve">Incrementos (disminuciones) por otros cambios, patrimonio   </t>
        </is>
      </c>
      <c r="F24" s="150" t="n"/>
      <c r="G24" s="163">
        <f>'PT g Patrimonio'!B11</f>
        <v/>
      </c>
      <c r="H24" s="163">
        <f>-'PT g Patrimonio'!B11</f>
        <v/>
      </c>
      <c r="I24" s="161" t="n">
        <v>0</v>
      </c>
      <c r="J24" s="161" t="n">
        <v>0</v>
      </c>
      <c r="K24" s="161" t="n">
        <v>0</v>
      </c>
      <c r="L24" s="165">
        <f>SUM(G24:K24)</f>
        <v/>
      </c>
    </row>
    <row r="25">
      <c r="A25" s="35" t="n"/>
      <c r="B25" s="35" t="n"/>
      <c r="C25" s="35" t="n"/>
      <c r="D25" s="35" t="n"/>
      <c r="E25" s="46" t="inlineStr">
        <is>
          <t>Incrementos (disminuciones) por transacciones con acciones propias, patrimonio</t>
        </is>
      </c>
      <c r="F25" s="150" t="n"/>
      <c r="G25" s="164" t="n">
        <v>0</v>
      </c>
      <c r="H25" s="164" t="n">
        <v>0</v>
      </c>
      <c r="I25" s="164" t="n">
        <v>0</v>
      </c>
      <c r="J25" s="164" t="n">
        <v>0</v>
      </c>
      <c r="K25" s="164" t="n">
        <v>0</v>
      </c>
      <c r="L25" s="165">
        <f>SUM(G25:K25)</f>
        <v/>
      </c>
    </row>
    <row r="26">
      <c r="A26" s="35" t="n"/>
      <c r="B26" s="35" t="n"/>
      <c r="C26" s="35" t="n"/>
      <c r="D26" s="35" t="n"/>
      <c r="E26" s="46" t="inlineStr">
        <is>
          <t>Incrementos (disminuciones) por cambios en las participaciones en la propiedad de subsidiarias que no dan lugar a pérdida de control, patrimonio</t>
        </is>
      </c>
      <c r="F26" s="150" t="n"/>
      <c r="G26" s="161" t="n">
        <v>0</v>
      </c>
      <c r="H26" s="161" t="n">
        <v>0</v>
      </c>
      <c r="I26" s="161" t="n">
        <v>0</v>
      </c>
      <c r="J26" s="161" t="n">
        <v>0</v>
      </c>
      <c r="K26" s="161" t="n">
        <v>0</v>
      </c>
      <c r="L26" s="165">
        <f>SUM(G26:K26)</f>
        <v/>
      </c>
    </row>
    <row r="27">
      <c r="A27" s="35" t="n"/>
      <c r="B27" s="35" t="n"/>
      <c r="C27" s="35" t="n"/>
      <c r="D27" s="35" t="n"/>
      <c r="E27" s="46" t="inlineStr">
        <is>
          <t>Incrementos (disminuciones) por transacciones con pagos basados en acciones, patrimonio</t>
        </is>
      </c>
      <c r="F27" s="150" t="n"/>
      <c r="G27" s="158" t="n">
        <v>0</v>
      </c>
      <c r="H27" s="158" t="n">
        <v>0</v>
      </c>
      <c r="I27" s="158" t="n">
        <v>0</v>
      </c>
      <c r="J27" s="158" t="n">
        <v>0</v>
      </c>
      <c r="K27" s="158" t="n">
        <v>0</v>
      </c>
      <c r="L27" s="160">
        <f>SUM(G27:K27)</f>
        <v/>
      </c>
    </row>
    <row r="28">
      <c r="A28" s="39" t="n"/>
      <c r="B28" s="39" t="n"/>
      <c r="C28" s="39" t="n"/>
      <c r="D28" s="40" t="n"/>
      <c r="E28" s="40" t="inlineStr">
        <is>
          <t>Total incrementos (disminuciones) en el patrimonio</t>
        </is>
      </c>
      <c r="F28" s="150" t="n"/>
      <c r="G28" s="151">
        <f>SUM(G18:G27)</f>
        <v/>
      </c>
      <c r="H28" s="151">
        <f>SUM(H18:H27)</f>
        <v/>
      </c>
      <c r="I28" s="151">
        <f>SUM(I18:I27)</f>
        <v/>
      </c>
      <c r="J28" s="151">
        <f>SUM(J18:J27)</f>
        <v/>
      </c>
      <c r="K28" s="151">
        <f>SUM(K18:K27)</f>
        <v/>
      </c>
      <c r="L28" s="151">
        <f>SUM(L18:L27)</f>
        <v/>
      </c>
    </row>
    <row r="29">
      <c r="A29" s="40" t="n"/>
      <c r="B29" s="40" t="n"/>
      <c r="C29" s="40" t="n"/>
      <c r="D29" s="40" t="inlineStr">
        <is>
          <t>Saldo final de patrimonio</t>
        </is>
      </c>
      <c r="E29" s="149" t="n"/>
      <c r="F29" s="150" t="n"/>
      <c r="G29" s="166">
        <f>+G14+G28</f>
        <v/>
      </c>
      <c r="H29" s="166">
        <f>+H14+H28</f>
        <v/>
      </c>
      <c r="I29" s="166">
        <f>+I14+I28</f>
        <v/>
      </c>
      <c r="J29" s="166">
        <f>+J14+J28</f>
        <v/>
      </c>
      <c r="K29" s="166">
        <f>+K14+K28</f>
        <v/>
      </c>
      <c r="L29" s="166">
        <f>+L28+L14</f>
        <v/>
      </c>
    </row>
    <row r="31">
      <c r="D31" t="inlineStr">
        <is>
          <t>Control vs Estado de Situacion Financiera (debe ser 0)</t>
        </is>
      </c>
    </row>
    <row r="32">
      <c r="G32" s="109">
        <f>G29-'ESF Y ER 2025 LETRA'!C31</f>
        <v/>
      </c>
      <c r="H32" s="109">
        <f>H29-'ESF Y ER 2025 LETRA'!C32</f>
        <v/>
      </c>
      <c r="J32" s="109">
        <f>J29-'ESF Y ER 2025 LETRA'!C33</f>
        <v/>
      </c>
      <c r="K32" s="109">
        <f>K29-'ESF Y ER 2025 LETRA'!C34-'ESF Y ER 2025 LETRA'!C35</f>
        <v/>
      </c>
      <c r="L32" s="109">
        <f>L29-'ESF Y ER 2025 LETRA'!C36</f>
        <v/>
      </c>
    </row>
    <row r="34">
      <c r="D34" t="inlineStr">
        <is>
          <t>Notas: (1) Fila 19: aporte en efectivo 31/10 (integra capital) y vehiculo 200.000 (aportes a capitalizar).</t>
        </is>
      </c>
    </row>
    <row r="35">
      <c r="D35" t="inlineStr">
        <is>
          <t>(2) Fila 20: reserva legal 5% s/ 800.000. (3) Fila 21: dividendos: 400.000 en acciones (pasan a Aportes a capitalizar) + 200.000 en efectivo.</t>
        </is>
      </c>
    </row>
    <row r="36">
      <c r="D36" t="inlineStr">
        <is>
          <t>(4) Fila 24: capitalizacion 03/01/2025 de los aportes a capitalizar 2024 (400.000) - reclasificacion sin efecto en el total.</t>
        </is>
      </c>
    </row>
  </sheetData>
  <mergeCells count="23">
    <mergeCell ref="E12:F12"/>
    <mergeCell ref="D11:F11"/>
    <mergeCell ref="E24:F24"/>
    <mergeCell ref="E23:F23"/>
    <mergeCell ref="E14:F14"/>
    <mergeCell ref="E20:F20"/>
    <mergeCell ref="G5:L5"/>
    <mergeCell ref="E19:F19"/>
    <mergeCell ref="A1:F2"/>
    <mergeCell ref="E28:F28"/>
    <mergeCell ref="E13:F13"/>
    <mergeCell ref="G4:L4"/>
    <mergeCell ref="B8:F8"/>
    <mergeCell ref="D29:F29"/>
    <mergeCell ref="E15:F15"/>
    <mergeCell ref="E27:F27"/>
    <mergeCell ref="E26:F26"/>
    <mergeCell ref="D10:F10"/>
    <mergeCell ref="C9:F9"/>
    <mergeCell ref="E25:F25"/>
    <mergeCell ref="E22:F22"/>
    <mergeCell ref="A7:F7"/>
    <mergeCell ref="E21:F21"/>
  </mergeCells>
  <pageMargins left="0.7086614173228351" right="0.7086614173228351" top="0.748031496062992" bottom="0.748031496062992" header="0.31496062992126" footer="0.31496062992126"/>
  <pageSetup orientation="landscape" paperSize="9" scale="83"/>
</worksheet>
</file>

<file path=xl/worksheets/sheet4.xml><?xml version="1.0" encoding="utf-8"?>
<worksheet xmlns="http://schemas.openxmlformats.org/spreadsheetml/2006/main">
  <sheetPr>
    <tabColor rgb="00404040"/>
    <outlinePr summaryBelow="1" summaryRight="1"/>
    <pageSetUpPr fitToPage="1"/>
  </sheetPr>
  <dimension ref="A3:K49"/>
  <sheetViews>
    <sheetView showGridLines="0" tabSelected="0" workbookViewId="0">
      <selection activeCell="D20" sqref="D20"/>
    </sheetView>
  </sheetViews>
  <sheetFormatPr baseColWidth="8" defaultColWidth="11" defaultRowHeight="15.6"/>
  <cols>
    <col width="11.4259259259259" customWidth="1" style="1" min="1" max="6"/>
    <col width="14" customWidth="1" min="2" max="2"/>
    <col width="12.712962962963" customWidth="1" style="1" min="7" max="8"/>
    <col width="11.4259259259259" customWidth="1" style="1" min="9" max="9"/>
  </cols>
  <sheetData>
    <row r="3" ht="16.35" customHeight="1">
      <c r="A3" s="167" t="inlineStr">
        <is>
          <t>ESTADO DE FLUJO DE EFECTIVO (Método Indirecto)</t>
        </is>
      </c>
      <c r="B3" s="168" t="n"/>
      <c r="C3" s="168" t="n"/>
      <c r="D3" s="168" t="n"/>
      <c r="E3" s="168" t="n"/>
      <c r="F3" s="168" t="n"/>
      <c r="G3" s="169" t="n"/>
    </row>
    <row r="4">
      <c r="A4" s="5" t="n"/>
      <c r="B4" s="5" t="n"/>
      <c r="C4" s="5" t="n"/>
      <c r="D4" s="5" t="n"/>
      <c r="E4" s="5" t="n"/>
      <c r="F4" s="5" t="n"/>
      <c r="G4" s="5" t="n"/>
    </row>
    <row r="5">
      <c r="A5" s="6" t="inlineStr">
        <is>
          <t>1. Fondos relacionados a operaciones</t>
        </is>
      </c>
      <c r="B5" s="5" t="n"/>
      <c r="C5" s="5" t="n"/>
      <c r="D5" s="5" t="n"/>
      <c r="E5" s="5" t="n"/>
      <c r="F5" s="5" t="n"/>
      <c r="G5" s="5" t="n"/>
    </row>
    <row r="6">
      <c r="A6" s="5" t="n"/>
      <c r="B6" s="5" t="inlineStr">
        <is>
          <t>Resultado del ejercicio</t>
        </is>
      </c>
      <c r="C6" s="5" t="n"/>
      <c r="D6" s="5" t="n"/>
      <c r="E6" s="5" t="n"/>
      <c r="F6" s="170">
        <f>'ESF Y ER 2025 LETRA'!C54</f>
        <v/>
      </c>
      <c r="G6" s="5" t="n"/>
    </row>
    <row r="7">
      <c r="A7" s="5" t="n"/>
      <c r="B7" s="5" t="inlineStr">
        <is>
          <t>Amortizaciones (no afecta fondos)</t>
        </is>
      </c>
      <c r="C7" s="5" t="n"/>
      <c r="D7" s="5" t="n"/>
      <c r="E7" s="5" t="n"/>
      <c r="F7" s="170">
        <f>-'ESF Y ER 2025 LETRA'!C44</f>
        <v/>
      </c>
      <c r="G7" s="5" t="n"/>
    </row>
    <row r="8">
      <c r="A8" s="5" t="n"/>
      <c r="B8" s="5" t="inlineStr">
        <is>
          <t>Resultado por venta de PPE (se refleja en inversiones)</t>
        </is>
      </c>
      <c r="C8" s="5" t="n"/>
      <c r="D8" s="5" t="n"/>
      <c r="E8" s="5" t="n"/>
      <c r="F8" s="170">
        <f>-'ESF Y ER 2025 LETRA'!C49</f>
        <v/>
      </c>
      <c r="G8" s="5" t="n"/>
    </row>
    <row r="9">
      <c r="A9" s="5" t="n"/>
      <c r="B9" s="5" t="n"/>
      <c r="C9" s="5" t="n"/>
      <c r="D9" s="5" t="n"/>
      <c r="E9" s="5" t="n"/>
      <c r="F9" s="7" t="n"/>
      <c r="G9" s="5" t="n"/>
    </row>
    <row r="10">
      <c r="A10" s="5" t="n"/>
      <c r="B10" s="5" t="n"/>
      <c r="C10" s="5" t="n"/>
      <c r="D10" s="5" t="n"/>
      <c r="E10" s="5" t="n"/>
      <c r="F10" s="8" t="n"/>
      <c r="G10" s="5" t="n"/>
    </row>
    <row r="11">
      <c r="A11" s="5" t="n"/>
      <c r="B11" s="5" t="n"/>
      <c r="C11" s="5" t="n"/>
      <c r="D11" s="5" t="n"/>
      <c r="E11" s="5" t="n"/>
      <c r="G11" s="171">
        <f>SUM(F6:F9)</f>
        <v/>
      </c>
    </row>
    <row r="12">
      <c r="A12" s="5" t="n"/>
      <c r="B12" s="5" t="inlineStr">
        <is>
          <t>Variación de activos y pasivos:</t>
        </is>
      </c>
      <c r="C12" s="5" t="n"/>
      <c r="D12" s="5" t="n"/>
      <c r="E12" s="5" t="n"/>
      <c r="F12" s="5" t="n"/>
      <c r="G12" s="172" t="n"/>
    </row>
    <row r="13">
      <c r="A13" s="5" t="n"/>
      <c r="B13" s="5" t="inlineStr">
        <is>
          <t>Cheques diferidos a cobrar</t>
        </is>
      </c>
      <c r="C13" s="5" t="n"/>
      <c r="D13" s="5" t="n"/>
      <c r="E13" s="5" t="n"/>
      <c r="F13" s="170">
        <f>-('ESF Y ER 2025 LETRA'!C9-'ESF Y ER 2025 LETRA'!D9)</f>
        <v/>
      </c>
      <c r="G13" s="172" t="n"/>
    </row>
    <row r="14">
      <c r="A14" s="5" t="n"/>
      <c r="B14" s="5" t="inlineStr">
        <is>
          <t>Deudores por ventas</t>
        </is>
      </c>
      <c r="C14" s="5" t="n"/>
      <c r="D14" s="5" t="n"/>
      <c r="E14" s="5" t="n"/>
      <c r="F14" s="170">
        <f>-('ESF Y ER 2025 LETRA'!C10-'ESF Y ER 2025 LETRA'!D10)</f>
        <v/>
      </c>
      <c r="G14" s="172" t="n"/>
    </row>
    <row r="15">
      <c r="A15" s="5" t="n"/>
      <c r="B15" s="5" t="inlineStr">
        <is>
          <t>Seguros pagos por adelantado</t>
        </is>
      </c>
      <c r="C15" s="5" t="n"/>
      <c r="D15" s="5" t="n"/>
      <c r="E15" s="5" t="n"/>
      <c r="F15" s="170">
        <f>-('ESF Y ER 2025 LETRA'!C11-'ESF Y ER 2025 LETRA'!D11)</f>
        <v/>
      </c>
      <c r="G15" s="172" t="n"/>
    </row>
    <row r="16">
      <c r="A16" s="5" t="n"/>
      <c r="B16" s="5" t="inlineStr">
        <is>
          <t>Inventarios</t>
        </is>
      </c>
      <c r="C16" s="5" t="n"/>
      <c r="D16" s="5" t="n"/>
      <c r="E16" s="5" t="n"/>
      <c r="F16" s="170">
        <f>-('ESF Y ER 2025 LETRA'!C12-'ESF Y ER 2025 LETRA'!D12)</f>
        <v/>
      </c>
      <c r="G16" s="172" t="n"/>
    </row>
    <row r="17">
      <c r="A17" s="5" t="n"/>
      <c r="B17" s="5" t="inlineStr">
        <is>
          <t>Acreedores por compras locales</t>
        </is>
      </c>
      <c r="C17" s="5" t="n"/>
      <c r="D17" s="5" t="n"/>
      <c r="E17" s="5" t="n"/>
      <c r="F17" s="170">
        <f>'ESF Y ER 2025 LETRA'!C19-'ESF Y ER 2025 LETRA'!D19</f>
        <v/>
      </c>
      <c r="G17" s="172" t="n"/>
    </row>
    <row r="18">
      <c r="A18" s="5" t="n"/>
      <c r="B18" s="5" t="inlineStr">
        <is>
          <t>Seguros a pagar (neto de seguros perdidos a vencer)</t>
        </is>
      </c>
      <c r="C18" s="5" t="n"/>
      <c r="D18" s="5" t="n"/>
      <c r="E18" s="5" t="n"/>
      <c r="F18" s="170">
        <f>('ESF Y ER 2025 LETRA'!C20+'ESF Y ER 2025 LETRA'!C21)-('ESF Y ER 2025 LETRA'!D20+'ESF Y ER 2025 LETRA'!D21)</f>
        <v/>
      </c>
      <c r="G18" s="172" t="n"/>
    </row>
    <row r="19">
      <c r="A19" s="5" t="n"/>
      <c r="B19" s="5" t="inlineStr">
        <is>
          <t>Deudas diversas</t>
        </is>
      </c>
      <c r="C19" s="5" t="n"/>
      <c r="D19" s="5" t="n"/>
      <c r="E19" s="5" t="n"/>
      <c r="F19" s="170">
        <f>'ESF Y ER 2025 LETRA'!C26-'ESF Y ER 2025 LETRA'!D26</f>
        <v/>
      </c>
      <c r="G19" s="172" t="n"/>
    </row>
    <row r="20">
      <c r="A20" s="5" t="n"/>
      <c r="B20" s="5" t="n"/>
      <c r="C20" s="5" t="n"/>
      <c r="D20" s="5" t="n"/>
      <c r="E20" s="5" t="n"/>
      <c r="F20" s="8" t="n"/>
      <c r="G20" s="173">
        <f>+G11+SUM(F13:F19)</f>
        <v/>
      </c>
    </row>
    <row r="21">
      <c r="A21" s="5" t="n"/>
      <c r="B21" s="5" t="n"/>
      <c r="C21" s="5" t="n"/>
      <c r="D21" s="5" t="n"/>
      <c r="E21" s="5" t="n"/>
      <c r="F21" s="5" t="n"/>
    </row>
    <row r="22">
      <c r="A22" s="5" t="n"/>
      <c r="B22" s="5" t="n"/>
      <c r="C22" s="5" t="n"/>
      <c r="D22" s="5" t="n"/>
      <c r="E22" s="5" t="n"/>
      <c r="F22" s="5" t="n"/>
      <c r="G22" s="172" t="n"/>
    </row>
    <row r="23">
      <c r="A23" s="6" t="inlineStr">
        <is>
          <t>2. Fondos relacionados a inversiones</t>
        </is>
      </c>
      <c r="B23" s="5" t="n"/>
      <c r="C23" s="5" t="n"/>
      <c r="D23" s="5" t="n"/>
      <c r="E23" s="5" t="n"/>
      <c r="F23" s="5" t="n"/>
      <c r="G23" s="172" t="n"/>
    </row>
    <row r="24">
      <c r="A24" s="5" t="n"/>
      <c r="B24" s="5" t="inlineStr">
        <is>
          <t>Cobro por venta de equipos de computacion</t>
        </is>
      </c>
      <c r="C24" s="5" t="n"/>
      <c r="D24" s="5" t="n"/>
      <c r="E24" s="5" t="n"/>
      <c r="F24" s="174">
        <f>'PT e PPE'!B17</f>
        <v/>
      </c>
      <c r="H24" s="172" t="n"/>
    </row>
    <row r="25">
      <c r="A25" s="5" t="n"/>
      <c r="B25" s="5" t="inlineStr">
        <is>
          <t>Compra de maquina (600.000; mitad financiada con prestamo)</t>
        </is>
      </c>
      <c r="C25" s="5" t="n"/>
      <c r="D25" s="5" t="n"/>
      <c r="E25" s="5" t="n"/>
      <c r="F25" s="174">
        <f>-'PT e PPE'!B8</f>
        <v/>
      </c>
      <c r="G25" s="172" t="n"/>
      <c r="H25" s="172" t="n"/>
    </row>
    <row r="26">
      <c r="A26" s="5" t="n"/>
      <c r="B26" s="5" t="n"/>
      <c r="C26" s="5" t="n"/>
      <c r="D26" s="5" t="n"/>
      <c r="E26" s="5" t="n"/>
      <c r="F26" s="5" t="n"/>
      <c r="G26" s="173">
        <f>SUM(F24:F25)</f>
        <v/>
      </c>
    </row>
    <row r="27">
      <c r="A27" s="5" t="n"/>
      <c r="B27" s="5" t="n"/>
      <c r="C27" s="5" t="n"/>
      <c r="D27" s="5" t="n"/>
      <c r="E27" s="5" t="n"/>
      <c r="F27" s="11" t="n"/>
      <c r="G27" s="172" t="n"/>
    </row>
    <row r="28">
      <c r="A28" s="6" t="inlineStr">
        <is>
          <t>3. Fondos relacionados a financiamiento</t>
        </is>
      </c>
      <c r="B28" s="5" t="n"/>
      <c r="C28" s="5" t="n"/>
      <c r="D28" s="5" t="n"/>
      <c r="E28" s="5" t="n"/>
      <c r="F28" s="5" t="n"/>
      <c r="G28" s="172" t="n"/>
    </row>
    <row r="29">
      <c r="A29" s="5" t="n"/>
      <c r="B29" s="5" t="n"/>
      <c r="C29" s="5" t="n"/>
      <c r="D29" s="5" t="n"/>
      <c r="E29" s="5" t="n"/>
      <c r="F29" s="7" t="n"/>
      <c r="G29" s="172" t="n"/>
    </row>
    <row r="30">
      <c r="A30" s="5" t="n"/>
      <c r="B30" s="5" t="inlineStr">
        <is>
          <t>Aporte de capital en efectivo (31/10/2025)</t>
        </is>
      </c>
      <c r="C30" s="5" t="n"/>
      <c r="D30" s="5" t="n"/>
      <c r="E30" s="5" t="n"/>
      <c r="F30" s="175">
        <f>'PT g Patrimonio'!B12</f>
        <v/>
      </c>
      <c r="G30" s="172" t="n"/>
      <c r="H30" s="172" t="n"/>
    </row>
    <row r="31">
      <c r="A31" s="5" t="n"/>
      <c r="B31" s="5" t="inlineStr">
        <is>
          <t>Dividendos en efectivo pagados</t>
        </is>
      </c>
      <c r="C31" s="5" t="n"/>
      <c r="D31" s="5" t="n"/>
      <c r="E31" s="5" t="n"/>
      <c r="F31" s="175">
        <f>-'PT g Patrimonio'!B6</f>
        <v/>
      </c>
      <c r="G31" s="172" t="n"/>
      <c r="H31" s="172" t="n"/>
    </row>
    <row r="32">
      <c r="A32" s="5" t="n"/>
      <c r="B32" s="5" t="inlineStr">
        <is>
          <t>Prestamo obtenido (30/06/2025)</t>
        </is>
      </c>
      <c r="C32" s="5" t="n"/>
      <c r="D32" s="5" t="n"/>
      <c r="E32" s="5" t="n"/>
      <c r="F32" s="176" t="n">
        <v>300000</v>
      </c>
      <c r="G32" s="172" t="n"/>
    </row>
    <row r="33">
      <c r="A33" s="5" t="n"/>
      <c r="B33" s="5" t="inlineStr">
        <is>
          <t>Cancelacion de cuotas de capital prestamo 1 (30/06 y 31/12)</t>
        </is>
      </c>
      <c r="C33" s="5" t="n"/>
      <c r="D33" s="5" t="n"/>
      <c r="E33" s="5" t="n"/>
      <c r="F33" s="177">
        <f>-('PT d Prestamos'!B7+'PT d Prestamos'!B8)</f>
        <v/>
      </c>
      <c r="G33" s="172" t="n"/>
    </row>
    <row r="34">
      <c r="A34" s="5" t="n"/>
      <c r="B34" s="5" t="inlineStr">
        <is>
          <t>Cuenta directores (variacion neta)</t>
        </is>
      </c>
      <c r="C34" s="5" t="n"/>
      <c r="D34" s="5" t="n"/>
      <c r="E34" s="5" t="n"/>
      <c r="F34" s="170">
        <f>('ESF Y ER 2025 LETRA'!D15-'ESF Y ER 2025 LETRA'!D27)-('ESF Y ER 2025 LETRA'!C15-'ESF Y ER 2025 LETRA'!C27)</f>
        <v/>
      </c>
      <c r="G34" s="172" t="n"/>
    </row>
    <row r="35">
      <c r="A35" s="5" t="n"/>
      <c r="G35" s="172" t="n"/>
    </row>
    <row r="36">
      <c r="A36" s="5" t="n"/>
      <c r="B36" s="5" t="n"/>
      <c r="C36" s="5" t="n"/>
      <c r="D36" s="5" t="n"/>
      <c r="E36" s="5" t="n"/>
      <c r="F36" s="8" t="n"/>
      <c r="G36" s="178">
        <f>SUM(F30:F34)</f>
        <v/>
      </c>
    </row>
    <row r="37">
      <c r="A37" s="5" t="n"/>
      <c r="B37" s="5" t="n"/>
      <c r="C37" s="5" t="n"/>
      <c r="D37" s="5" t="n"/>
      <c r="E37" s="5" t="n"/>
      <c r="F37" s="5" t="n"/>
      <c r="G37" s="172" t="n"/>
    </row>
    <row r="38">
      <c r="A38" s="6" t="inlineStr">
        <is>
          <t>4. Variación de disponibilidades</t>
        </is>
      </c>
      <c r="B38" s="5" t="n"/>
      <c r="C38" s="5" t="n"/>
      <c r="D38" s="5" t="n"/>
      <c r="E38" s="5" t="n"/>
      <c r="F38" s="5" t="n"/>
      <c r="G38" s="179">
        <f>+G20+G26+G36</f>
        <v/>
      </c>
    </row>
    <row r="39">
      <c r="A39" s="5" t="n"/>
      <c r="B39" s="5" t="n"/>
      <c r="C39" s="5" t="n"/>
      <c r="D39" s="5" t="n"/>
      <c r="E39" s="5" t="n"/>
      <c r="F39" s="5" t="n"/>
      <c r="G39" s="172" t="n"/>
    </row>
    <row r="40">
      <c r="A40" s="6" t="inlineStr">
        <is>
          <t>5. Saldo inicial de disponibilidades</t>
        </is>
      </c>
      <c r="B40" s="5" t="inlineStr">
        <is>
          <t>Caja + Banco al 31/12/2024</t>
        </is>
      </c>
      <c r="C40" s="5" t="n"/>
      <c r="D40" s="5" t="n"/>
      <c r="E40" s="5" t="n"/>
      <c r="F40" s="5" t="n"/>
      <c r="G40" s="180">
        <f>'ESF Y ER 2025 LETRA'!D7+'ESF Y ER 2025 LETRA'!D8</f>
        <v/>
      </c>
      <c r="I40" s="181" t="n"/>
      <c r="J40" s="109" t="n"/>
    </row>
    <row r="41">
      <c r="A41" s="5" t="n"/>
      <c r="B41" s="5" t="n"/>
      <c r="C41" s="5" t="n"/>
      <c r="D41" s="5" t="n"/>
      <c r="E41" s="5" t="n"/>
      <c r="F41" s="5" t="n"/>
      <c r="G41" s="172" t="n"/>
      <c r="I41" s="181" t="n"/>
      <c r="J41" s="109" t="n"/>
    </row>
    <row r="42" ht="16.35" customHeight="1">
      <c r="A42" s="6" t="inlineStr">
        <is>
          <t>6. Saldo final de disponibilidades</t>
        </is>
      </c>
      <c r="B42" s="5" t="inlineStr">
        <is>
          <t>Caja + Banco al 31/12/2025</t>
        </is>
      </c>
      <c r="C42" s="5" t="n"/>
      <c r="D42" s="5" t="n"/>
      <c r="E42" s="5" t="n"/>
      <c r="F42" s="5" t="n"/>
      <c r="G42" s="182">
        <f>'ESF Y ER 2025 LETRA'!C7+'ESF Y ER 2025 LETRA'!C8</f>
        <v/>
      </c>
    </row>
    <row r="43" ht="16.35" customHeight="1">
      <c r="A43" s="5" t="n"/>
      <c r="B43" s="5" t="n"/>
      <c r="C43" s="5" t="n"/>
      <c r="D43" s="5" t="n"/>
      <c r="E43" s="5" t="n"/>
      <c r="F43" s="5" t="n"/>
      <c r="G43" s="172" t="n"/>
    </row>
    <row r="44">
      <c r="G44" s="183" t="n"/>
      <c r="I44" s="181" t="n"/>
    </row>
    <row r="45">
      <c r="A45" s="5" t="inlineStr">
        <is>
          <t>control</t>
        </is>
      </c>
      <c r="B45" s="5" t="n"/>
      <c r="C45" s="5" t="n"/>
      <c r="D45" s="5" t="n"/>
      <c r="E45" s="5" t="n"/>
      <c r="F45" s="5" t="n"/>
      <c r="G45" s="184">
        <f>+G40+G38-G42</f>
        <v/>
      </c>
      <c r="H45" s="5" t="n"/>
      <c r="I45" s="5" t="n"/>
      <c r="J45" s="109" t="n"/>
    </row>
    <row r="46">
      <c r="G46" s="181" t="n"/>
      <c r="I46" s="181" t="n"/>
      <c r="J46" s="1" t="n"/>
      <c r="K46" s="1" t="n"/>
    </row>
    <row r="47">
      <c r="A47" t="inlineStr">
        <is>
          <t>Transacciones sin movimiento de efectivo (no incluidas): aporte en especie (vehiculo) 200.000; dividendos en acciones 400.000; capitalizacion de aportes 400.000.</t>
        </is>
      </c>
      <c r="G47" s="181" t="n"/>
    </row>
    <row r="48">
      <c r="A48" t="inlineStr">
        <is>
          <t>Disponibilidades = Caja + Banco. Los cheques diferidos a cobrar (vto 31/03/26) no se consideran efectivo. Intereses pagados (150.000) estan dentro del resultado.</t>
        </is>
      </c>
    </row>
    <row r="49">
      <c r="G49" s="181" t="n"/>
    </row>
  </sheetData>
  <mergeCells count="1">
    <mergeCell ref="A3:G3"/>
  </mergeCells>
  <pageMargins left="0.7086614173228351" right="0.7086614173228351" top="0.748031496062992" bottom="0.748031496062992" header="0.31496062992126" footer="0.31496062992126"/>
  <pageSetup orientation="portrait" paperSize="9" scale="84"/>
</worksheet>
</file>

<file path=xl/worksheets/sheet5.xml><?xml version="1.0" encoding="utf-8"?>
<worksheet xmlns="http://schemas.openxmlformats.org/spreadsheetml/2006/main">
  <sheetPr>
    <tabColor rgb="001B8A7A"/>
    <outlinePr summaryBelow="1" summaryRight="1"/>
    <pageSetUpPr/>
  </sheetPr>
  <dimension ref="A1:D30"/>
  <sheetViews>
    <sheetView showGridLines="0" tabSelected="0" workbookViewId="0">
      <selection activeCell="A1" sqref="A1"/>
    </sheetView>
  </sheetViews>
  <sheetFormatPr baseColWidth="8" defaultRowHeight="15"/>
  <cols>
    <col width="60" customWidth="1" min="1" max="1"/>
    <col width="16" customWidth="1" min="2" max="2"/>
    <col width="16" customWidth="1" min="3" max="3"/>
    <col width="60" customWidth="1" min="4" max="4"/>
  </cols>
  <sheetData>
    <row r="1">
      <c r="A1" s="185" t="inlineStr">
        <is>
          <t>Pedido 2 - Distribucion de resultados y ampliacion de capital</t>
        </is>
      </c>
    </row>
    <row r="3">
      <c r="A3" s="186" t="inlineStr">
        <is>
          <t>a) Hipotesis: se distribuye la totalidad de los resultados acumulados (Asamblea 30/06/2025)</t>
        </is>
      </c>
    </row>
    <row r="4">
      <c r="A4" t="inlineStr">
        <is>
          <t>Resultados a distribuir (resultado 2024)</t>
        </is>
      </c>
      <c r="B4" s="187">
        <f>'PT g Patrimonio'!B22</f>
        <v/>
      </c>
    </row>
    <row r="5">
      <c r="A5" t="inlineStr">
        <is>
          <t>Reserva legal minima: 5% (art. 93 Ley 16.060)</t>
        </is>
      </c>
      <c r="B5" s="187">
        <f>'PT g Patrimonio'!B23</f>
        <v/>
      </c>
    </row>
    <row r="6">
      <c r="A6" t="inlineStr">
        <is>
          <t>Remanente a distribuir</t>
        </is>
      </c>
      <c r="B6" s="187">
        <f>'PT g Patrimonio'!B24</f>
        <v/>
      </c>
    </row>
    <row r="7">
      <c r="A7" t="inlineStr">
        <is>
          <t xml:space="preserve">  50% en acciones</t>
        </is>
      </c>
      <c r="B7" s="187">
        <f>'PT g Patrimonio'!B25</f>
        <v/>
      </c>
    </row>
    <row r="8">
      <c r="A8" t="inlineStr">
        <is>
          <t xml:space="preserve">  50% en efectivo</t>
        </is>
      </c>
      <c r="B8" s="187">
        <f>'PT g Patrimonio'!B26</f>
        <v/>
      </c>
    </row>
    <row r="10">
      <c r="A10" s="186" t="inlineStr">
        <is>
          <t>Asiento 30/06/2025</t>
        </is>
      </c>
      <c r="B10" s="186" t="inlineStr">
        <is>
          <t>Debe</t>
        </is>
      </c>
      <c r="C10" s="186" t="inlineStr">
        <is>
          <t>Haber</t>
        </is>
      </c>
    </row>
    <row r="11">
      <c r="A11" t="inlineStr">
        <is>
          <t>Resultados acumulados</t>
        </is>
      </c>
      <c r="B11" s="107">
        <f>B4</f>
        <v/>
      </c>
    </row>
    <row r="12">
      <c r="A12" t="inlineStr">
        <is>
          <t xml:space="preserve">   Reserva legal</t>
        </is>
      </c>
      <c r="C12" s="107">
        <f>B5</f>
        <v/>
      </c>
    </row>
    <row r="13">
      <c r="A13" t="inlineStr">
        <is>
          <t xml:space="preserve">   Aportes a capitalizar (dividendos en acciones)</t>
        </is>
      </c>
      <c r="C13" s="107">
        <f>B7</f>
        <v/>
      </c>
    </row>
    <row r="14">
      <c r="A14" t="inlineStr">
        <is>
          <t xml:space="preserve">   Dividendos a pagar</t>
        </is>
      </c>
      <c r="C14" s="107">
        <f>B8</f>
        <v/>
      </c>
    </row>
    <row r="15">
      <c r="A15" t="inlineStr">
        <is>
          <t>Dividendos a pagar</t>
        </is>
      </c>
      <c r="B15" s="107">
        <f>B8</f>
        <v/>
      </c>
    </row>
    <row r="16">
      <c r="A16" t="inlineStr">
        <is>
          <t xml:space="preserve">   Caja</t>
        </is>
      </c>
      <c r="C16" s="107">
        <f>B8</f>
        <v/>
      </c>
    </row>
    <row r="17">
      <c r="A17" t="inlineStr">
        <is>
          <t>Resultado: Resultados acumulados queda en cero. Las acciones se capitalizan al inscribirse la ampliacion de capital.</t>
        </is>
      </c>
    </row>
    <row r="19">
      <c r="A19" s="186" t="inlineStr">
        <is>
          <t>b) Ampliacion minima del capital contractual (resolucion efectiva, literal g)</t>
        </is>
      </c>
    </row>
    <row r="20">
      <c r="A20" t="inlineStr">
        <is>
          <t>Capital integrado al 31/12/2025 (2.600.000 + 400.000 + 800.000)</t>
        </is>
      </c>
      <c r="B20" s="187">
        <f>'PT g Patrimonio'!B13</f>
        <v/>
      </c>
    </row>
    <row r="21">
      <c r="A21" t="inlineStr">
        <is>
          <t>Aportes a capitalizar: div. en acciones 400.000 + vehiculo 200.000</t>
        </is>
      </c>
      <c r="B21" s="187">
        <f>'PT g Patrimonio'!B14</f>
        <v/>
      </c>
    </row>
    <row r="22">
      <c r="A22" t="inlineStr">
        <is>
          <t>Total que debe estar cubierto por capital contractual</t>
        </is>
      </c>
      <c r="B22" s="188">
        <f>B20+B21</f>
        <v/>
      </c>
    </row>
    <row r="23">
      <c r="A23" t="inlineStr">
        <is>
          <t>Capital contractual vigente</t>
        </is>
      </c>
      <c r="B23" s="187">
        <f>'PT g Patrimonio'!B17</f>
        <v/>
      </c>
    </row>
    <row r="24">
      <c r="A24" s="189" t="inlineStr">
        <is>
          <t>AMPLIACION MINIMA</t>
        </is>
      </c>
      <c r="B24" s="190">
        <f>B22-B23</f>
        <v/>
      </c>
    </row>
    <row r="26">
      <c r="A26" s="88" t="inlineStr">
        <is>
          <t>Justificacion: el capital integrado (3.800.000) ya iguala al capital contractual. Los 600.000 de Aportes a capitalizar (dividendos en acciones decididos en la Asamblea y aporte en especie del vehiculo) no pueden pasar a Capital mientras el capital contractual no los cubra. Para capitalizarlos hay que ampliar el contractual en, como minimo, 600.000 (de 3.800.000 a 4.400.000). Los dividendos en efectivo no afectan al capital. El resultado es el mismo aunque el aporte del 31/10 se tratara como aporte a capitalizar: 4.400.000 - 3.800.000.</t>
        </is>
      </c>
    </row>
    <row r="27"/>
    <row r="28"/>
    <row r="29"/>
    <row r="30"/>
  </sheetData>
  <mergeCells count="1">
    <mergeCell ref="A26:D3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F7F7F"/>
    <outlinePr summaryBelow="1" summaryRight="1"/>
    <pageSetUpPr/>
  </sheetPr>
  <dimension ref="A1:D35"/>
  <sheetViews>
    <sheetView showGridLines="0" tabSelected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58" customWidth="1" min="4" max="4"/>
  </cols>
  <sheetData>
    <row r="1">
      <c r="A1" s="185" t="inlineStr">
        <is>
          <t>Pedido 3 - Indicadores de apoyo al analisis de inversion</t>
        </is>
      </c>
    </row>
    <row r="3">
      <c r="A3" s="104" t="n"/>
      <c r="B3" s="103" t="inlineStr">
        <is>
          <t>2025</t>
        </is>
      </c>
      <c r="C3" s="103" t="inlineStr">
        <is>
          <t>2024</t>
        </is>
      </c>
      <c r="D3" s="103" t="inlineStr">
        <is>
          <t>Lectura</t>
        </is>
      </c>
    </row>
    <row r="4">
      <c r="A4" t="inlineStr">
        <is>
          <t>Activo corriente</t>
        </is>
      </c>
      <c r="B4" s="191">
        <f>SUM('ESF Y ER 2025 LETRA'!C7:'ESF Y ER 2025 LETRA'!C12)</f>
        <v/>
      </c>
      <c r="C4" s="191">
        <f>SUM('ESF Y ER 2025 LETRA'!D7:'ESF Y ER 2025 LETRA'!D12)</f>
        <v/>
      </c>
      <c r="D4" t="inlineStr"/>
    </row>
    <row r="5">
      <c r="A5" t="inlineStr">
        <is>
          <t>Pasivo corriente (neto de regularizadoras)</t>
        </is>
      </c>
      <c r="B5" s="191">
        <f>'ESF Y ER 2025 LETRA'!C19+'ESF Y ER 2025 LETRA'!C20+'ESF Y ER 2025 LETRA'!C21+'ESF Y ER 2025 LETRA'!C22+'ESF Y ER 2025 LETRA'!C23+'ESF Y ER 2025 LETRA'!C24+'ESF Y ER 2025 LETRA'!C26</f>
        <v/>
      </c>
      <c r="C5" s="191">
        <f>'ESF Y ER 2025 LETRA'!D19+'ESF Y ER 2025 LETRA'!D22+'ESF Y ER 2025 LETRA'!D23+'ESF Y ER 2025 LETRA'!D24+'ESF Y ER 2025 LETRA'!D26</f>
        <v/>
      </c>
      <c r="D5" t="inlineStr">
        <is>
          <t>Se considera corriente el pasivo exigible en 12 meses</t>
        </is>
      </c>
    </row>
    <row r="6">
      <c r="A6" t="inlineStr">
        <is>
          <t>Liquidez corriente</t>
        </is>
      </c>
      <c r="B6" s="192">
        <f>B4/B5</f>
        <v/>
      </c>
      <c r="C6" s="192">
        <f>C4/C5</f>
        <v/>
      </c>
      <c r="D6" t="inlineStr">
        <is>
          <t>Alta, pero 83% del AC son cuentas por cobrar</t>
        </is>
      </c>
    </row>
    <row r="7">
      <c r="A7" t="inlineStr">
        <is>
          <t>Liquidez inmediata (Caja + Banco / P. corriente)</t>
        </is>
      </c>
      <c r="B7" s="192">
        <f>('ESF Y ER 2025 LETRA'!C7+'ESF Y ER 2025 LETRA'!C8)/B5</f>
        <v/>
      </c>
      <c r="C7" s="192">
        <f>('ESF Y ER 2025 LETRA'!D7+'ESF Y ER 2025 LETRA'!D8)/C5</f>
        <v/>
      </c>
      <c r="D7" t="inlineStr">
        <is>
          <t>Baja: la caja no cubre el pasivo corriente</t>
        </is>
      </c>
    </row>
    <row r="8">
      <c r="A8" t="inlineStr">
        <is>
          <t>Endeudamiento (Pasivo / Patrimonio)</t>
        </is>
      </c>
      <c r="B8" s="192">
        <f>'ESF Y ER 2025 LETRA'!C28/'ESF Y ER 2025 LETRA'!C36</f>
        <v/>
      </c>
      <c r="C8" s="192">
        <f>'ESF Y ER 2025 LETRA'!D28/'ESF Y ER 2025 LETRA'!D36</f>
        <v/>
      </c>
      <c r="D8" t="inlineStr">
        <is>
          <t>Bajo apalancamiento</t>
        </is>
      </c>
    </row>
    <row r="9">
      <c r="A9" t="inlineStr">
        <is>
          <t>Margen bruto</t>
        </is>
      </c>
      <c r="B9" s="193">
        <f>'ESF Y ER 2025 LETRA'!C43/'ESF Y ER 2025 LETRA'!C41</f>
        <v/>
      </c>
      <c r="C9" s="194" t="n"/>
      <c r="D9" t="inlineStr">
        <is>
          <t>Muy alto: revisar precio de venta vs. costo unitario</t>
        </is>
      </c>
    </row>
    <row r="10">
      <c r="A10" t="inlineStr">
        <is>
          <t>Margen neto</t>
        </is>
      </c>
      <c r="B10" s="193">
        <f>'ESF Y ER 2025 LETRA'!C54/'ESF Y ER 2025 LETRA'!C41</f>
        <v/>
      </c>
      <c r="C10" s="194" t="n"/>
      <c r="D10" t="inlineStr"/>
    </row>
    <row r="11">
      <c r="A11" t="inlineStr">
        <is>
          <t>ROE (resultado / patrimonio final)</t>
        </is>
      </c>
      <c r="B11" s="193">
        <f>'ESF Y ER 2025 LETRA'!C54/'ESF Y ER 2025 LETRA'!C36</f>
        <v/>
      </c>
      <c r="C11" s="193">
        <f>'ESF Y ER 2025 LETRA'!D35/'ESF Y ER 2025 LETRA'!D36</f>
        <v/>
      </c>
      <c r="D11" t="inlineStr"/>
    </row>
    <row r="12">
      <c r="A12" t="inlineStr">
        <is>
          <t>Plazo de cobranza (dias) = Ds x ventas / Ventas x 365</t>
        </is>
      </c>
      <c r="B12" s="195">
        <f>'ESF Y ER 2025 LETRA'!C10/'ESF Y ER 2025 LETRA'!C41*365</f>
        <v/>
      </c>
      <c r="C12" s="196" t="n"/>
      <c r="D12" t="inlineStr">
        <is>
          <t>Deudores por ventas superan las ventas anuales</t>
        </is>
      </c>
    </row>
    <row r="13">
      <c r="A13" t="inlineStr">
        <is>
          <t>Dias de inventario = Inventario / Costo de ventas x 365</t>
        </is>
      </c>
      <c r="B13" s="195">
        <f>'ESF Y ER 2025 LETRA'!C12/-'ESF Y ER 2025 LETRA'!C42*365</f>
        <v/>
      </c>
      <c r="C13" s="196" t="n"/>
      <c r="D13" t="inlineStr">
        <is>
          <t>Inventario se multiplico por ~10</t>
        </is>
      </c>
    </row>
    <row r="14">
      <c r="A14" t="inlineStr">
        <is>
          <t>Flujo de efectivo de operaciones</t>
        </is>
      </c>
      <c r="B14" s="191">
        <f>'EFE 2025'!G20</f>
        <v/>
      </c>
      <c r="D14" t="inlineStr">
        <is>
          <t>Casi nulo frente a un resultado de 2,86 millones</t>
        </is>
      </c>
    </row>
    <row r="15">
      <c r="A15" t="inlineStr">
        <is>
          <t>Flujo operativo / Resultado del ejercicio</t>
        </is>
      </c>
      <c r="B15" s="193">
        <f>'EFE 2025'!G20/'ESF Y ER 2025 LETRA'!C54</f>
        <v/>
      </c>
      <c r="C15" s="194" t="n"/>
      <c r="D15" t="inlineStr">
        <is>
          <t>Baja conversion de resultados en caja</t>
        </is>
      </c>
    </row>
    <row r="16">
      <c r="A16" t="inlineStr">
        <is>
          <t>Cuenta directores / Activo total</t>
        </is>
      </c>
      <c r="B16" s="193">
        <f>'ESF Y ER 2025 LETRA'!C15/'ESF Y ER 2025 LETRA'!C16</f>
        <v/>
      </c>
      <c r="C16" s="193">
        <f>'ESF Y ER 2025 LETRA'!D15/'ESF Y ER 2025 LETRA'!D16</f>
        <v/>
      </c>
      <c r="D16" t="inlineStr">
        <is>
          <t>Financiamiento a partes relacionadas</t>
        </is>
      </c>
    </row>
    <row r="19">
      <c r="A19" s="189" t="inlineStr">
        <is>
          <t>Unidades vendidas por trimestre (planilla de stock)</t>
        </is>
      </c>
    </row>
    <row r="20">
      <c r="A20" t="inlineStr">
        <is>
          <t>T1 (ene-mar)</t>
        </is>
      </c>
      <c r="B20" s="107" t="n">
        <v>25</v>
      </c>
    </row>
    <row r="21">
      <c r="A21" t="inlineStr">
        <is>
          <t>T2 (abr-jun)</t>
        </is>
      </c>
      <c r="B21" s="107" t="n">
        <v>10</v>
      </c>
    </row>
    <row r="22">
      <c r="A22" t="inlineStr">
        <is>
          <t>T3 (jul-sep)</t>
        </is>
      </c>
      <c r="B22" s="107" t="n">
        <v>0</v>
      </c>
    </row>
    <row r="23">
      <c r="A23" t="inlineStr">
        <is>
          <t>T4 (oct-dic)</t>
        </is>
      </c>
      <c r="B23" s="107" t="n">
        <v>10</v>
      </c>
    </row>
    <row r="25">
      <c r="A25" t="inlineStr">
        <is>
          <t>Costo unitario de compra: 10.000 (SI) -&gt; 11.000 (ene) -&gt; 12.000 (mar) -&gt; 15.000 (dic): +50%.</t>
        </is>
      </c>
    </row>
    <row r="28">
      <c r="A28" s="96" t="inlineStr">
        <is>
          <t>RESPUESTA: No invertiria en las condiciones actuales (solo con condiciones previas).</t>
        </is>
      </c>
    </row>
    <row r="29" ht="44" customHeight="1">
      <c r="A29" s="88" t="inlineStr">
        <is>
          <t>A favor: rentabilidad contable muy alta (resultado 2,86 M, ROE 38%), bajo endeudamiento (pasivo/patrimonio 0,20) y liquidez corriente 4,4.</t>
        </is>
      </c>
    </row>
    <row r="30" ht="44" customHeight="1">
      <c r="A30" s="88" t="inlineStr">
        <is>
          <t>En contra 1 - La ganancia no se convierte en caja: el flujo de operaciones es 35.907 (1,3% del resultado). El crecimiento se financio con aportes de socios (800.000), un prestamo (300.000) y la cuenta directores.</t>
        </is>
      </c>
    </row>
    <row r="31" ht="44" customHeight="1">
      <c r="A31" s="88" t="inlineStr">
        <is>
          <t>En contra 2 - Deudores por ventas (4,35 M) superan las ventas anuales (4,12 M): cobranza a ~385 dias, 83% del activo corriente, sin prevision por incobrables.</t>
        </is>
      </c>
    </row>
    <row r="32" ht="44" customHeight="1">
      <c r="A32" s="88" t="inlineStr">
        <is>
          <t>En contra 3 - Inventario x10 (50.000 -&gt; 528.000, ~393 dias de stock) con ventas que se enfrian: 25 uds. T1, 10 T2, 0 T3 y 10 T4 (todas el 31/12). Costo de reposicion +50% (10.000 -&gt; 15.000).</t>
        </is>
      </c>
    </row>
    <row r="33" ht="44" customHeight="1">
      <c r="A33" s="88" t="inlineStr">
        <is>
          <t>En contra 4 - Un unico producto suntuario y estacional: con una economia debilitada (menos ingreso disponible, credito caro: el prestamo cuesta 24% anual en pesos, riesgo cambiario) caen ventas, cobranza y margen a la vez, sin diversificacion que amortigue.</t>
        </is>
      </c>
    </row>
    <row r="34" ht="44" customHeight="1">
      <c r="A34" s="88" t="inlineStr">
        <is>
          <t>En contra 5 - Calidad de la informacion: margen bruto de 88% (precio medio ~91.600 vs costo ~10.900 por unidad) es atipico y debe verificarse; 13% del activo es una cuenta con directores sin condiciones de devolucion.</t>
        </is>
      </c>
    </row>
    <row r="35" ht="44" customHeight="1">
      <c r="A35" s="88" t="inlineStr">
        <is>
          <t>Para reconsiderar: cobranza real y prevision de incobrables, plan de reduccion de inventario, regularizar la cuenta directores, evidencia de demanda estable y verificacion del margen.</t>
        </is>
      </c>
    </row>
  </sheetData>
  <mergeCells count="7">
    <mergeCell ref="A31:D31"/>
    <mergeCell ref="A34:D34"/>
    <mergeCell ref="A35:D35"/>
    <mergeCell ref="A30:D30"/>
    <mergeCell ref="A29:D29"/>
    <mergeCell ref="A33:D33"/>
    <mergeCell ref="A32:D3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E33"/>
  <sheetViews>
    <sheetView tabSelected="0" workbookViewId="0">
      <selection activeCell="A1" sqref="A1"/>
    </sheetView>
  </sheetViews>
  <sheetFormatPr baseColWidth="8" defaultRowHeight="15"/>
  <cols>
    <col width="12" customWidth="1" min="1" max="1"/>
    <col width="56" customWidth="1" min="2" max="2"/>
    <col width="14" customWidth="1" min="3" max="3"/>
    <col width="14" customWidth="1" min="4" max="4"/>
    <col width="58" customWidth="1" min="5" max="5"/>
  </cols>
  <sheetData>
    <row r="1">
      <c r="A1" s="185" t="inlineStr">
        <is>
          <t>Libro diario: arqueo, conciliacion bancaria y pedido 2 a)</t>
        </is>
      </c>
    </row>
    <row r="3">
      <c r="A3" s="197" t="inlineStr">
        <is>
          <t>Fecha</t>
        </is>
      </c>
      <c r="B3" s="197" t="inlineStr">
        <is>
          <t>Cuenta</t>
        </is>
      </c>
      <c r="C3" s="197" t="inlineStr">
        <is>
          <t>Debe</t>
        </is>
      </c>
      <c r="D3" s="197" t="inlineStr">
        <is>
          <t>Haber</t>
        </is>
      </c>
      <c r="E3" s="197" t="inlineStr">
        <is>
          <t>Glosa</t>
        </is>
      </c>
    </row>
    <row r="4">
      <c r="A4" s="198" t="inlineStr">
        <is>
          <t>31/12/2025</t>
        </is>
      </c>
      <c r="B4" s="198" t="inlineStr">
        <is>
          <t>Caja</t>
        </is>
      </c>
      <c r="C4" s="89" t="n">
        <v>34000</v>
      </c>
      <c r="D4" s="198" t="n"/>
      <c r="E4" s="198" t="inlineStr">
        <is>
          <t>Boleta de venta contado no registrada</t>
        </is>
      </c>
    </row>
    <row r="5">
      <c r="A5" s="198" t="n"/>
      <c r="B5" s="198" t="inlineStr">
        <is>
          <t xml:space="preserve">   Ventas</t>
        </is>
      </c>
      <c r="C5" s="198" t="n"/>
      <c r="D5" s="89" t="n">
        <v>34000</v>
      </c>
      <c r="E5" s="198" t="n"/>
    </row>
    <row r="6"/>
    <row r="7">
      <c r="A7" s="198" t="inlineStr">
        <is>
          <t>31/12/2025</t>
        </is>
      </c>
      <c r="B7" s="198" t="inlineStr">
        <is>
          <t>Caja</t>
        </is>
      </c>
      <c r="C7" s="89" t="n">
        <v>43000</v>
      </c>
      <c r="D7" s="198" t="n"/>
      <c r="E7" s="198" t="inlineStr">
        <is>
          <t>Cobranza con cheque del dia (recibo)</t>
        </is>
      </c>
    </row>
    <row r="8">
      <c r="A8" s="198" t="n"/>
      <c r="B8" s="198" t="inlineStr">
        <is>
          <t xml:space="preserve">   Deudores por ventas</t>
        </is>
      </c>
      <c r="C8" s="198" t="n"/>
      <c r="D8" s="89" t="n">
        <v>43000</v>
      </c>
      <c r="E8" s="198" t="n"/>
    </row>
    <row r="9">
      <c r="A9" s="198" t="n"/>
      <c r="B9" s="198" t="n"/>
      <c r="C9" s="198" t="n"/>
      <c r="D9" s="198" t="n"/>
      <c r="E9" s="198" t="n"/>
    </row>
    <row r="10">
      <c r="A10" t="inlineStr">
        <is>
          <t>31/12/2025</t>
        </is>
      </c>
      <c r="B10" t="inlineStr">
        <is>
          <t>Acreedores por compras locales</t>
        </is>
      </c>
      <c r="C10" s="107" t="n">
        <v>1100</v>
      </c>
      <c r="E10" t="inlineStr">
        <is>
          <t>Pago contado a proveedor</t>
        </is>
      </c>
    </row>
    <row r="11">
      <c r="A11" s="198" t="n"/>
      <c r="B11" s="198" t="inlineStr">
        <is>
          <t xml:space="preserve">   Caja</t>
        </is>
      </c>
      <c r="C11" s="198" t="n"/>
      <c r="D11" s="89" t="n">
        <v>1100</v>
      </c>
      <c r="E11" s="198" t="n"/>
    </row>
    <row r="12">
      <c r="A12" s="198" t="n"/>
      <c r="B12" s="198" t="n"/>
      <c r="C12" s="198" t="n"/>
      <c r="D12" s="198" t="n"/>
      <c r="E12" s="198" t="n"/>
    </row>
    <row r="13">
      <c r="A13" t="inlineStr">
        <is>
          <t>31/12/2025</t>
        </is>
      </c>
      <c r="B13" t="inlineStr">
        <is>
          <t>Acreedores por compras locales</t>
        </is>
      </c>
      <c r="C13" s="107" t="n">
        <v>42500</v>
      </c>
      <c r="E13" t="inlineStr">
        <is>
          <t>Pago a proveedor en efectivo</t>
        </is>
      </c>
    </row>
    <row r="14">
      <c r="A14" s="198" t="n"/>
      <c r="B14" s="198" t="inlineStr">
        <is>
          <t xml:space="preserve">   Caja</t>
        </is>
      </c>
      <c r="C14" s="198" t="n"/>
      <c r="D14" s="89" t="n">
        <v>42500</v>
      </c>
      <c r="E14" s="198" t="n"/>
    </row>
    <row r="15">
      <c r="A15" s="198" t="n"/>
      <c r="B15" s="198" t="n"/>
      <c r="C15" s="198" t="n"/>
      <c r="D15" s="198" t="n"/>
      <c r="E15" s="198" t="n"/>
    </row>
    <row r="16">
      <c r="A16" t="inlineStr">
        <is>
          <t>31/12/2025</t>
        </is>
      </c>
      <c r="B16" t="inlineStr">
        <is>
          <t>Faltante de caja</t>
        </is>
      </c>
      <c r="C16" s="107" t="n">
        <v>1600</v>
      </c>
      <c r="E16" t="inlineStr">
        <is>
          <t>Faltante determinado en el arqueo (75.900 contable vs 74.300 contado)</t>
        </is>
      </c>
    </row>
    <row r="17">
      <c r="A17" s="198" t="n"/>
      <c r="B17" s="198" t="inlineStr">
        <is>
          <t xml:space="preserve">   Caja</t>
        </is>
      </c>
      <c r="C17" s="198" t="n"/>
      <c r="D17" s="89" t="n">
        <v>1600</v>
      </c>
      <c r="E17" s="198" t="n"/>
    </row>
    <row r="18">
      <c r="A18" s="198" t="n"/>
      <c r="B18" s="198" t="n"/>
      <c r="C18" s="198" t="n"/>
      <c r="D18" s="198" t="n"/>
      <c r="E18" s="198" t="n"/>
    </row>
    <row r="19">
      <c r="A19" t="inlineStr">
        <is>
          <t>31/12/2025</t>
        </is>
      </c>
      <c r="B19" t="inlineStr">
        <is>
          <t>Gastos de administracion y ventas</t>
        </is>
      </c>
      <c r="C19" s="107" t="n">
        <v>2500</v>
      </c>
      <c r="E19" t="inlineStr">
        <is>
          <t>Costo mantenimiento cuenta corriente (extracto)</t>
        </is>
      </c>
    </row>
    <row r="20">
      <c r="A20" s="199" t="n"/>
      <c r="B20" s="199" t="inlineStr">
        <is>
          <t xml:space="preserve">   Banco cuenta corriente MN</t>
        </is>
      </c>
      <c r="C20" s="199" t="n"/>
      <c r="D20" s="91" t="n">
        <v>2500</v>
      </c>
      <c r="E20" s="199" t="n"/>
    </row>
    <row r="21">
      <c r="A21" s="199" t="n"/>
      <c r="B21" s="199" t="n"/>
      <c r="C21" s="199" t="n"/>
      <c r="D21" s="199" t="n"/>
      <c r="E21" s="199" t="n"/>
    </row>
    <row r="22">
      <c r="A22" t="inlineStr">
        <is>
          <t>31/12/2025</t>
        </is>
      </c>
      <c r="B22" t="inlineStr">
        <is>
          <t>Deudores por ventas (contrapartida original)</t>
        </is>
      </c>
      <c r="C22" s="107" t="n">
        <v>13500</v>
      </c>
      <c r="E22" t="inlineStr">
        <is>
          <t>Correccion transf. Nro 534: registrada 15.000, acreditada 1.500</t>
        </is>
      </c>
    </row>
    <row r="23">
      <c r="A23" s="199" t="n"/>
      <c r="B23" s="199" t="inlineStr">
        <is>
          <t xml:space="preserve">   Banco cuenta corriente MN</t>
        </is>
      </c>
      <c r="C23" s="199" t="n"/>
      <c r="D23" s="91" t="n">
        <v>13500</v>
      </c>
      <c r="E23" s="199" t="n"/>
    </row>
    <row r="24">
      <c r="A24" s="199" t="n"/>
      <c r="B24" s="199" t="n"/>
      <c r="C24" s="199" t="n"/>
      <c r="D24" s="199" t="n"/>
      <c r="E24" s="199" t="n"/>
    </row>
    <row r="25">
      <c r="A25" t="inlineStr">
        <is>
          <t>30/06/2025</t>
        </is>
      </c>
      <c r="B25" t="inlineStr">
        <is>
          <t>Resultados acumulados (Resultado ej. 2024)</t>
        </is>
      </c>
      <c r="C25" s="107" t="n">
        <v>800000</v>
      </c>
      <c r="E25" t="inlineStr">
        <is>
          <t>Pedido 2 a) Distribucion segun hipotesis alternativa</t>
        </is>
      </c>
    </row>
    <row r="26">
      <c r="A26" s="200" t="n"/>
      <c r="B26" s="200" t="inlineStr">
        <is>
          <t xml:space="preserve">   Reserva legal</t>
        </is>
      </c>
      <c r="C26" s="200" t="n"/>
      <c r="D26" s="101" t="n">
        <v>40000</v>
      </c>
      <c r="E26" s="200" t="n"/>
    </row>
    <row r="27">
      <c r="A27" s="200" t="n"/>
      <c r="B27" s="200" t="inlineStr">
        <is>
          <t xml:space="preserve">   Aportes a capitalizar (dividendos en acciones)</t>
        </is>
      </c>
      <c r="C27" s="200" t="n"/>
      <c r="D27" s="101" t="n">
        <v>380000</v>
      </c>
      <c r="E27" s="200" t="n"/>
    </row>
    <row r="28">
      <c r="A28" s="200" t="n"/>
      <c r="B28" s="200" t="inlineStr">
        <is>
          <t xml:space="preserve">   Dividendos a pagar</t>
        </is>
      </c>
      <c r="C28" s="200" t="n"/>
      <c r="D28" s="101" t="n">
        <v>380000</v>
      </c>
      <c r="E28" s="200" t="n"/>
    </row>
    <row r="29">
      <c r="A29" s="200" t="n"/>
      <c r="B29" s="200" t="n"/>
      <c r="C29" s="200" t="n"/>
      <c r="D29" s="200" t="n"/>
      <c r="E29" s="200" t="n"/>
    </row>
    <row r="30">
      <c r="A30" t="inlineStr">
        <is>
          <t>30/06/2025</t>
        </is>
      </c>
      <c r="B30" t="inlineStr">
        <is>
          <t>Dividendos a pagar</t>
        </is>
      </c>
      <c r="C30" s="107" t="n">
        <v>380000</v>
      </c>
      <c r="E30" t="inlineStr">
        <is>
          <t>Pedido 2 a) Pago de dividendos en efectivo</t>
        </is>
      </c>
    </row>
    <row r="31">
      <c r="A31" s="200" t="n"/>
      <c r="B31" s="200" t="inlineStr">
        <is>
          <t xml:space="preserve">   Caja</t>
        </is>
      </c>
      <c r="C31" s="200" t="n"/>
      <c r="D31" s="101" t="n">
        <v>380000</v>
      </c>
      <c r="E31" s="200" t="n"/>
    </row>
    <row r="32">
      <c r="A32" s="200" t="n"/>
      <c r="B32" s="200" t="n"/>
      <c r="C32" s="200" t="n"/>
      <c r="D32" s="200" t="n"/>
      <c r="E32" s="200" t="n"/>
    </row>
    <row r="33">
      <c r="B33" t="inlineStr">
        <is>
          <t>Nota: las contrapartidas se muestran solo para cuadrar el asiento; las demas cuentas ya figuran con su saldo final en el Anexo II.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D35"/>
  <sheetViews>
    <sheetView showGridLines="0" tabSelected="0"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50" customWidth="1" min="4" max="4"/>
  </cols>
  <sheetData>
    <row r="1">
      <c r="A1" s="201" t="inlineStr">
        <is>
          <t>a) Arqueo de caja y diferencia de cambio</t>
        </is>
      </c>
    </row>
    <row r="2">
      <c r="A2" s="85" t="inlineStr">
        <is>
          <t>Todo en moneda nacional. Solo se actualizan Caja, Faltante/Sobrante, Cheques diferidos a cobrar y D/C.</t>
        </is>
      </c>
    </row>
    <row r="3"/>
    <row r="4">
      <c r="A4" s="189" t="inlineStr">
        <is>
          <t>Saldo contable de Caja MN antes del arqueo</t>
        </is>
      </c>
      <c r="B4" s="107" t="n">
        <v>42500</v>
      </c>
    </row>
    <row r="5"/>
    <row r="6">
      <c r="A6" s="189" t="inlineStr">
        <is>
          <t>Comprobantes en poder del cajero (aun no registrados)</t>
        </is>
      </c>
      <c r="B6" s="189" t="inlineStr">
        <is>
          <t>Efecto en Caja</t>
        </is>
      </c>
      <c r="D6" s="189" t="inlineStr">
        <is>
          <t>Criterio</t>
        </is>
      </c>
    </row>
    <row r="7">
      <c r="A7" t="inlineStr">
        <is>
          <t>e-Boleta de venta contado</t>
        </is>
      </c>
      <c r="B7" s="107" t="n">
        <v>34000</v>
      </c>
      <c r="D7" t="inlineStr">
        <is>
          <t>Cobro en efectivo: aumenta Caja</t>
        </is>
      </c>
    </row>
    <row r="8">
      <c r="A8" t="inlineStr">
        <is>
          <t>e-Factura de venta a credito</t>
        </is>
      </c>
      <c r="B8" s="107" t="n">
        <v>0</v>
      </c>
      <c r="D8" t="inlineStr">
        <is>
          <t>No afecta Caja (Ds x ventas)</t>
        </is>
      </c>
    </row>
    <row r="9">
      <c r="A9" t="inlineStr">
        <is>
          <t>Recibo por pago contado emitido por proveedor</t>
        </is>
      </c>
      <c r="B9" s="107" t="n">
        <v>-1100</v>
      </c>
      <c r="D9" t="inlineStr">
        <is>
          <t>Pago en efectivo: disminuye Caja</t>
        </is>
      </c>
    </row>
    <row r="10">
      <c r="A10" t="inlineStr">
        <is>
          <t>Recibo por cobranza con cheque del dia</t>
        </is>
      </c>
      <c r="B10" s="107" t="n">
        <v>43000</v>
      </c>
      <c r="D10" t="inlineStr">
        <is>
          <t>Cheque del dia = valor en Caja</t>
        </is>
      </c>
    </row>
    <row r="11">
      <c r="A11" t="inlineStr">
        <is>
          <t>Recibo por pago a proveedor en efectivo</t>
        </is>
      </c>
      <c r="B11" s="107" t="n">
        <v>-42500</v>
      </c>
      <c r="D11" t="inlineStr">
        <is>
          <t>Pago en efectivo: disminuye Caja</t>
        </is>
      </c>
    </row>
    <row r="12">
      <c r="A12" t="inlineStr">
        <is>
          <t>e-Facturas por compras a credito</t>
        </is>
      </c>
      <c r="B12" s="107" t="n">
        <v>0</v>
      </c>
      <c r="D12" t="inlineStr">
        <is>
          <t>No afecta Caja (Ac x compra)</t>
        </is>
      </c>
    </row>
    <row r="13">
      <c r="A13" t="inlineStr">
        <is>
          <t>Recibo de pago a proveedor con cheque Nro 5</t>
        </is>
      </c>
      <c r="B13" s="107" t="n">
        <v>0</v>
      </c>
      <c r="D13" t="inlineStr">
        <is>
          <t>Sale de Banco (ya en el mayor bancario)</t>
        </is>
      </c>
    </row>
    <row r="14">
      <c r="A14" t="inlineStr">
        <is>
          <t>Cheque diferido Nro 98 (vto 31/03/2026)</t>
        </is>
      </c>
      <c r="B14" s="107" t="n">
        <v>0</v>
      </c>
      <c r="D14" t="inlineStr">
        <is>
          <t>Ya registrado: Cheques dif. a cobrar 2.300</t>
        </is>
      </c>
    </row>
    <row r="15">
      <c r="A15" s="189" t="inlineStr">
        <is>
          <t>Saldo contable ajustado por comprobantes</t>
        </is>
      </c>
      <c r="B15" s="202">
        <f>B4+SUM(B7:B14)</f>
        <v/>
      </c>
    </row>
    <row r="16"/>
    <row r="17">
      <c r="A17" s="189" t="inlineStr">
        <is>
          <t>Valores contados en caja (arqueo fisico)</t>
        </is>
      </c>
    </row>
    <row r="18">
      <c r="A18" t="inlineStr">
        <is>
          <t>Monedas y billetes</t>
        </is>
      </c>
      <c r="B18" s="107" t="n">
        <v>25800</v>
      </c>
    </row>
    <row r="19">
      <c r="A19" t="inlineStr">
        <is>
          <t>Cheque del dia</t>
        </is>
      </c>
      <c r="B19" s="107" t="n">
        <v>43000</v>
      </c>
    </row>
    <row r="20">
      <c r="A20" t="inlineStr">
        <is>
          <t>Cheque diferido Nro 321 (vto 15/12/2025: ya vencido = valor al dia)</t>
        </is>
      </c>
      <c r="B20" s="107" t="n">
        <v>5500</v>
      </c>
      <c r="D20" t="inlineStr">
        <is>
          <t>A 31/12/25 ya es exigible: se trata como Caja</t>
        </is>
      </c>
    </row>
    <row r="21">
      <c r="A21" s="189" t="inlineStr">
        <is>
          <t>Total valores en caja</t>
        </is>
      </c>
      <c r="B21" s="202">
        <f>SUM(B18:B20)</f>
        <v/>
      </c>
    </row>
    <row r="22"/>
    <row r="23">
      <c r="A23" s="189" t="inlineStr">
        <is>
          <t>Diferencia (valores - saldo ajustado)  &lt;0 = FALTANTE</t>
        </is>
      </c>
      <c r="B23" s="203">
        <f>B21-B15</f>
        <v/>
      </c>
    </row>
    <row r="24">
      <c r="A24" t="inlineStr">
        <is>
          <t>Faltante de caja (perdida, a Estado de Resultados)</t>
        </is>
      </c>
      <c r="B24" s="107">
        <f>B23</f>
        <v/>
      </c>
    </row>
    <row r="25"/>
    <row r="26">
      <c r="A26" s="189" t="inlineStr">
        <is>
          <t>Caja MN al 31/12/2025</t>
        </is>
      </c>
      <c r="B26" s="203">
        <f>B15+B23</f>
        <v/>
      </c>
    </row>
    <row r="27">
      <c r="A27" s="189" t="inlineStr">
        <is>
          <t>Cheques diferidos a cobrar al 31/12/2025 (solo el Nro 98)</t>
        </is>
      </c>
      <c r="B27" s="203" t="n">
        <v>2300</v>
      </c>
    </row>
    <row r="28"/>
    <row r="29">
      <c r="A29" s="189" t="inlineStr">
        <is>
          <t>Diferencia de cambio (unico movimiento en USD)</t>
        </is>
      </c>
    </row>
    <row r="30">
      <c r="A30" t="inlineStr">
        <is>
          <t>USD comprados 30/06/2025</t>
        </is>
      </c>
      <c r="B30" s="107" t="n">
        <v>10000</v>
      </c>
    </row>
    <row r="31">
      <c r="A31" t="inlineStr">
        <is>
          <t>T/C 30/06/2025</t>
        </is>
      </c>
      <c r="B31" s="204" t="n">
        <v>39.548</v>
      </c>
    </row>
    <row r="32">
      <c r="A32" t="inlineStr">
        <is>
          <t>T/C 30/09/2025</t>
        </is>
      </c>
      <c r="B32" s="204" t="n">
        <v>39.845</v>
      </c>
    </row>
    <row r="33">
      <c r="A33" t="inlineStr">
        <is>
          <t>Costo de compra ($)</t>
        </is>
      </c>
      <c r="B33" s="107">
        <f>B30*B31</f>
        <v/>
      </c>
    </row>
    <row r="34">
      <c r="A34" t="inlineStr">
        <is>
          <t>Importe de venta ($)</t>
        </is>
      </c>
      <c r="B34" s="107">
        <f>B30*B32</f>
        <v/>
      </c>
    </row>
    <row r="35">
      <c r="A35" s="189" t="inlineStr">
        <is>
          <t>Diferencia de cambio GANADA</t>
        </is>
      </c>
      <c r="B35" s="203">
        <f>B34-B33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E17"/>
  <sheetViews>
    <sheetView showGridLines="0" tabSelected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4" customWidth="1" min="3" max="3"/>
    <col width="58" customWidth="1" min="4" max="4"/>
    <col width="16" customWidth="1" min="5" max="5"/>
  </cols>
  <sheetData>
    <row r="1">
      <c r="A1" s="205" t="inlineStr">
        <is>
          <t>b) Conciliacion bancaria al 31/12/2025</t>
        </is>
      </c>
    </row>
    <row r="2">
      <c r="A2" s="85" t="inlineStr">
        <is>
          <t>Banco cuenta corriente moneda nacional</t>
        </is>
      </c>
    </row>
    <row r="3"/>
    <row r="4">
      <c r="A4" s="189" t="inlineStr">
        <is>
          <t>Saldo del mayor (empresa) al 31/12/25</t>
        </is>
      </c>
      <c r="B4" s="107">
        <f>258000+23000-1500+15000-10000-1100+8900-550</f>
        <v/>
      </c>
      <c r="D4" s="189" t="inlineStr">
        <is>
          <t>Saldo estado de cuenta (banco) al 31/12/25</t>
        </is>
      </c>
      <c r="E4" s="107">
        <f>154000+188000-49000+23000-14000+1500-10000-550-2500</f>
        <v/>
      </c>
    </row>
    <row r="5">
      <c r="A5" s="189" t="inlineStr">
        <is>
          <t>Ajustes a la empresa (partidas que el banco conoce y la empresa no)</t>
        </is>
      </c>
      <c r="D5" s="189" t="inlineStr">
        <is>
          <t>Ajustes al banco (partidas que la empresa conoce y el banco no)</t>
        </is>
      </c>
    </row>
    <row r="6">
      <c r="A6" t="inlineStr">
        <is>
          <t xml:space="preserve">  Costo mantenimiento cuenta corriente (nota de debito)</t>
        </is>
      </c>
      <c r="B6" s="107" t="n">
        <v>-2500</v>
      </c>
      <c r="D6" t="inlineStr">
        <is>
          <t xml:space="preserve">  Deposito en transito: boleta Nro 768 (28/12)</t>
        </is>
      </c>
      <c r="E6" s="107" t="n">
        <v>8900</v>
      </c>
    </row>
    <row r="7">
      <c r="A7" t="inlineStr">
        <is>
          <t xml:space="preserve">  Error de la empresa: transf. recibida Nro 534 registrada por 15.000 y el banco acredito 1.500</t>
        </is>
      </c>
      <c r="B7" s="107">
        <f>-(15000-1500)</f>
        <v/>
      </c>
      <c r="D7" t="inlineStr">
        <is>
          <t xml:space="preserve">  Cheque Nro 4 pendiente de cobro (proveedor X)</t>
        </is>
      </c>
      <c r="E7" s="107" t="n">
        <v>-1500</v>
      </c>
    </row>
    <row r="8">
      <c r="D8" t="inlineStr">
        <is>
          <t xml:space="preserve">  Cheque Nro 2 pendiente de cobro (conciliacion de nov.)</t>
        </is>
      </c>
      <c r="E8" s="107" t="n">
        <v>-21000</v>
      </c>
    </row>
    <row r="9">
      <c r="A9" s="189" t="inlineStr">
        <is>
          <t>Saldo conciliado - empresa</t>
        </is>
      </c>
      <c r="B9" s="206">
        <f>B4+B6+B7</f>
        <v/>
      </c>
      <c r="D9" t="inlineStr">
        <is>
          <t xml:space="preserve">  Transferencia Nro 45 (proveedor AA) no acreditada aun</t>
        </is>
      </c>
      <c r="E9" s="107" t="n">
        <v>-1100</v>
      </c>
    </row>
    <row r="10">
      <c r="D10" s="189" t="inlineStr">
        <is>
          <t>Saldo conciliado - banco</t>
        </is>
      </c>
      <c r="E10" s="206">
        <f>E4+SUM(E6:E9)</f>
        <v/>
      </c>
    </row>
    <row r="11"/>
    <row r="12">
      <c r="A12" s="189" t="inlineStr">
        <is>
          <t>Control (deben coincidir)</t>
        </is>
      </c>
      <c r="B12" s="188">
        <f>B9-E10</f>
        <v/>
      </c>
    </row>
    <row r="13"/>
    <row r="14">
      <c r="A14" t="inlineStr">
        <is>
          <t>Partidas de noviembre ya resueltas: deposito 501, cheque 1 y transferencia 76 se acreditaron/debitaron en diciembre. Cheque 2 sigue pendiente.</t>
        </is>
      </c>
    </row>
    <row r="15">
      <c r="A15" t="inlineStr">
        <is>
          <t>Supuesto: ante una diferencia empresa-banco en un importe, se presume correcto el estado de cuenta (transposicion 15.000 vs 1.500).</t>
        </is>
      </c>
    </row>
    <row r="16"/>
    <row r="17">
      <c r="A17" s="189" t="inlineStr">
        <is>
          <t>Banco cuenta corriente MN al 31/12/2025</t>
        </is>
      </c>
      <c r="B17" s="207">
        <f>B9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55A11"/>
    <outlinePr summaryBelow="1" summaryRight="1"/>
    <pageSetUpPr/>
  </sheetPr>
  <dimension ref="A1:J26"/>
  <sheetViews>
    <sheetView showGridLines="0" tabSelected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0" customWidth="1" min="4" max="4"/>
    <col width="12" customWidth="1" min="5" max="5"/>
    <col width="8" customWidth="1" min="6" max="6"/>
    <col width="12" customWidth="1" min="7" max="7"/>
    <col width="8" customWidth="1" min="8" max="8"/>
    <col width="12" customWidth="1" min="9" max="9"/>
    <col width="40" customWidth="1" min="10" max="10"/>
  </cols>
  <sheetData>
    <row r="1">
      <c r="A1" s="208" t="inlineStr">
        <is>
          <t>c) Planilla de stock - FIFO (PEPS), permanencia de inventario</t>
        </is>
      </c>
    </row>
    <row r="2"/>
    <row r="3"/>
    <row r="4">
      <c r="A4" s="209" t="inlineStr">
        <is>
          <t>Fecha</t>
        </is>
      </c>
      <c r="B4" s="209" t="inlineStr">
        <is>
          <t>Concepto</t>
        </is>
      </c>
      <c r="C4" s="209" t="inlineStr">
        <is>
          <t>Ent uds</t>
        </is>
      </c>
      <c r="D4" s="209" t="inlineStr">
        <is>
          <t>Ent Cunit</t>
        </is>
      </c>
      <c r="E4" s="209" t="inlineStr">
        <is>
          <t>Ent total</t>
        </is>
      </c>
      <c r="F4" s="209" t="inlineStr">
        <is>
          <t>Sal uds</t>
        </is>
      </c>
      <c r="G4" s="209" t="inlineStr">
        <is>
          <t>Sal total</t>
        </is>
      </c>
      <c r="H4" s="209" t="inlineStr">
        <is>
          <t>Saldo uds</t>
        </is>
      </c>
      <c r="I4" s="209" t="inlineStr">
        <is>
          <t>Saldo total</t>
        </is>
      </c>
      <c r="J4" s="209" t="inlineStr">
        <is>
          <t>Detalle de capas (FIFO)</t>
        </is>
      </c>
    </row>
    <row r="5">
      <c r="A5" t="inlineStr">
        <is>
          <t>SI</t>
        </is>
      </c>
      <c r="H5" s="107" t="n">
        <v>5</v>
      </c>
      <c r="I5" s="107" t="n">
        <v>50000</v>
      </c>
      <c r="J5" t="inlineStr">
        <is>
          <t>5 @ 10.000</t>
        </is>
      </c>
    </row>
    <row r="6">
      <c r="A6" t="inlineStr">
        <is>
          <t>08-ene</t>
        </is>
      </c>
      <c r="B6" t="inlineStr">
        <is>
          <t>VENTA</t>
        </is>
      </c>
      <c r="F6" s="107" t="n">
        <v>5</v>
      </c>
      <c r="G6" s="107" t="n">
        <v>50000</v>
      </c>
      <c r="H6" s="107">
        <f>H5+N(C6)-N(F6)</f>
        <v/>
      </c>
      <c r="I6" s="107">
        <f>I5+N(E6)-N(G6)</f>
        <v/>
      </c>
      <c r="J6" t="inlineStr">
        <is>
          <t>sale 5 @ 10.000 -&gt; 0</t>
        </is>
      </c>
    </row>
    <row r="7">
      <c r="A7" t="inlineStr">
        <is>
          <t>09-ene</t>
        </is>
      </c>
      <c r="B7" t="inlineStr">
        <is>
          <t>COMPRA</t>
        </is>
      </c>
      <c r="C7" s="107" t="n">
        <v>40</v>
      </c>
      <c r="D7" s="107" t="n">
        <v>11000</v>
      </c>
      <c r="E7" s="107" t="n">
        <v>440000</v>
      </c>
      <c r="H7" s="107">
        <f>H6+N(C7)-N(F7)</f>
        <v/>
      </c>
      <c r="I7" s="107">
        <f>I6+N(E7)-N(G7)</f>
        <v/>
      </c>
      <c r="J7" t="inlineStr">
        <is>
          <t>40 @ 11.000</t>
        </is>
      </c>
    </row>
    <row r="8">
      <c r="A8" t="inlineStr">
        <is>
          <t>14-feb</t>
        </is>
      </c>
      <c r="B8" t="inlineStr">
        <is>
          <t>VENTA</t>
        </is>
      </c>
      <c r="F8" s="107" t="n">
        <v>15</v>
      </c>
      <c r="G8" s="107" t="n">
        <v>165000</v>
      </c>
      <c r="H8" s="107">
        <f>H7+N(C8)-N(F8)</f>
        <v/>
      </c>
      <c r="I8" s="107">
        <f>I7+N(E8)-N(G8)</f>
        <v/>
      </c>
      <c r="J8" t="inlineStr">
        <is>
          <t>sale 15 @ 11.000 -&gt; 25 @ 11.000</t>
        </is>
      </c>
    </row>
    <row r="9">
      <c r="A9" t="inlineStr">
        <is>
          <t>15-mar</t>
        </is>
      </c>
      <c r="B9" t="inlineStr">
        <is>
          <t>COMPRA</t>
        </is>
      </c>
      <c r="C9" s="107" t="n">
        <v>20</v>
      </c>
      <c r="D9" s="107" t="n">
        <v>12000</v>
      </c>
      <c r="E9" s="107" t="n">
        <v>240000</v>
      </c>
      <c r="H9" s="107">
        <f>H8+N(C9)-N(F9)</f>
        <v/>
      </c>
      <c r="I9" s="107">
        <f>I8+N(E9)-N(G9)</f>
        <v/>
      </c>
      <c r="J9" t="inlineStr">
        <is>
          <t>25 @ 11.000 + 20 @ 12.000</t>
        </is>
      </c>
    </row>
    <row r="10">
      <c r="A10" t="inlineStr">
        <is>
          <t>31-mar</t>
        </is>
      </c>
      <c r="B10" t="inlineStr">
        <is>
          <t>VENTA</t>
        </is>
      </c>
      <c r="F10" s="107" t="n">
        <v>5</v>
      </c>
      <c r="G10" s="107" t="n">
        <v>55000</v>
      </c>
      <c r="H10" s="107">
        <f>H9+N(C10)-N(F10)</f>
        <v/>
      </c>
      <c r="I10" s="107">
        <f>I9+N(E10)-N(G10)</f>
        <v/>
      </c>
      <c r="J10" t="inlineStr">
        <is>
          <t>sale 5 @ 11.000 -&gt; 20 @ 11.000 + 20 @ 12.000</t>
        </is>
      </c>
    </row>
    <row r="11">
      <c r="A11" t="inlineStr">
        <is>
          <t>30-abr</t>
        </is>
      </c>
      <c r="B11" t="inlineStr">
        <is>
          <t>VENTA</t>
        </is>
      </c>
      <c r="F11" s="107" t="n">
        <v>5</v>
      </c>
      <c r="G11" s="107" t="n">
        <v>55000</v>
      </c>
      <c r="H11" s="107">
        <f>H10+N(C11)-N(F11)</f>
        <v/>
      </c>
      <c r="I11" s="107">
        <f>I10+N(E11)-N(G11)</f>
        <v/>
      </c>
      <c r="J11" t="inlineStr">
        <is>
          <t>sale 5 @ 11.000 -&gt; 15 @ 11.000 + 20 @ 12.000</t>
        </is>
      </c>
    </row>
    <row r="12">
      <c r="A12" t="inlineStr">
        <is>
          <t>30-jun</t>
        </is>
      </c>
      <c r="B12" t="inlineStr">
        <is>
          <t>VENTA</t>
        </is>
      </c>
      <c r="F12" s="107" t="n">
        <v>5</v>
      </c>
      <c r="G12" s="107" t="n">
        <v>55000</v>
      </c>
      <c r="H12" s="107">
        <f>H11+N(C12)-N(F12)</f>
        <v/>
      </c>
      <c r="I12" s="107">
        <f>I11+N(E12)-N(G12)</f>
        <v/>
      </c>
      <c r="J12" t="inlineStr">
        <is>
          <t>sale 5 @ 11.000 -&gt; 10 @ 11.000 + 20 @ 12.000</t>
        </is>
      </c>
    </row>
    <row r="13">
      <c r="A13" t="inlineStr">
        <is>
          <t>31-dic</t>
        </is>
      </c>
      <c r="B13" t="inlineStr">
        <is>
          <t>VENTA</t>
        </is>
      </c>
      <c r="F13" s="107" t="n">
        <v>10</v>
      </c>
      <c r="G13" s="107" t="n">
        <v>110000</v>
      </c>
      <c r="H13" s="107">
        <f>H12+N(C13)-N(F13)</f>
        <v/>
      </c>
      <c r="I13" s="107">
        <f>I12+N(E13)-N(G13)</f>
        <v/>
      </c>
      <c r="J13" t="inlineStr">
        <is>
          <t>sale 10 @ 11.000 -&gt; 20 @ 12.000</t>
        </is>
      </c>
    </row>
    <row r="14">
      <c r="A14" t="inlineStr">
        <is>
          <t>31-dic</t>
        </is>
      </c>
      <c r="B14" t="inlineStr">
        <is>
          <t>COMPRA</t>
        </is>
      </c>
      <c r="C14" s="107" t="n">
        <v>20</v>
      </c>
      <c r="D14" s="107" t="n">
        <v>15000</v>
      </c>
      <c r="E14" s="107" t="n">
        <v>300000</v>
      </c>
      <c r="H14" s="107">
        <f>H13+N(C14)-N(F14)</f>
        <v/>
      </c>
      <c r="I14" s="107">
        <f>I13+N(E14)-N(G14)</f>
        <v/>
      </c>
      <c r="J14" t="inlineStr">
        <is>
          <t>20 @ 12.000 + 20 @ 15.000</t>
        </is>
      </c>
    </row>
    <row r="15"/>
    <row r="16">
      <c r="A16" s="189" t="inlineStr">
        <is>
          <t>Saldo teorico al 31/12</t>
        </is>
      </c>
      <c r="H16" s="188">
        <f>H14</f>
        <v/>
      </c>
      <c r="I16" s="188">
        <f>I14</f>
        <v/>
      </c>
    </row>
    <row r="17">
      <c r="A17" t="inlineStr">
        <is>
          <t>Recuento fisico (uds)</t>
        </is>
      </c>
      <c r="H17" s="107" t="n">
        <v>39</v>
      </c>
    </row>
    <row r="18">
      <c r="A18" t="inlineStr">
        <is>
          <t>Diferencia de stock (uds)  faltante</t>
        </is>
      </c>
      <c r="H18" s="107">
        <f>H16-H17</f>
        <v/>
      </c>
    </row>
    <row r="19">
      <c r="A19" t="inlineStr">
        <is>
          <t>Valuacion de la diferencia: 1 ud. de la capa mas antigua (FIFO) @ 12.000</t>
        </is>
      </c>
      <c r="I19" s="210">
        <f>H18*12000</f>
        <v/>
      </c>
    </row>
    <row r="20"/>
    <row r="21">
      <c r="A21" s="189" t="inlineStr">
        <is>
          <t>Inventario final (19 @ 12.000 + 20 @ 15.000)</t>
        </is>
      </c>
      <c r="I21" s="210">
        <f>I16-I19</f>
        <v/>
      </c>
    </row>
    <row r="22">
      <c r="A22" t="inlineStr">
        <is>
          <t>Inventario inicial</t>
        </is>
      </c>
      <c r="I22" s="107">
        <f>I5</f>
        <v/>
      </c>
    </row>
    <row r="23">
      <c r="A23" s="189" t="inlineStr">
        <is>
          <t>Costo de ventas 2025 (suma de salidas)</t>
        </is>
      </c>
      <c r="I23" s="210">
        <f>SUM(G5:G14)</f>
        <v/>
      </c>
    </row>
    <row r="24">
      <c r="A24" t="inlineStr">
        <is>
          <t>Control: inv. inicial + compras - costo ventas - dif. stock</t>
        </is>
      </c>
      <c r="I24" s="107">
        <f>I22+SUM(E5:E14)-I23-I19-I21</f>
        <v/>
      </c>
    </row>
    <row r="25"/>
    <row r="26">
      <c r="A26" t="inlineStr">
        <is>
          <t>Unidades vendidas 2025</t>
        </is>
      </c>
      <c r="H26" s="107">
        <f>SUM(F5:F14)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030A0"/>
    <outlinePr summaryBelow="1" summaryRight="1"/>
    <pageSetUpPr/>
  </sheetPr>
  <dimension ref="A1:F22"/>
  <sheetViews>
    <sheetView showGridLines="0" tabSelected="0"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40" customWidth="1" min="6" max="6"/>
  </cols>
  <sheetData>
    <row r="1">
      <c r="A1" s="211" t="inlineStr">
        <is>
          <t>d) Prestamos, intereses a pagar / perdidos / perdidos a vencer</t>
        </is>
      </c>
    </row>
    <row r="2"/>
    <row r="3">
      <c r="A3" s="189" t="inlineStr">
        <is>
          <t>Prestamo 1: $1.000.000 al 01/07/2024, 24% anual lineal sobre saldos = 12% semestral, 4 cuotas semestrales de capital 250.000</t>
        </is>
      </c>
    </row>
    <row r="4">
      <c r="A4" s="212" t="inlineStr">
        <is>
          <t>Vencimiento</t>
        </is>
      </c>
      <c r="B4" s="212" t="inlineStr">
        <is>
          <t>Capital</t>
        </is>
      </c>
      <c r="C4" s="212" t="inlineStr">
        <is>
          <t>Interes</t>
        </is>
      </c>
      <c r="D4" s="212" t="inlineStr">
        <is>
          <t>Cuota</t>
        </is>
      </c>
      <c r="E4" s="212" t="inlineStr">
        <is>
          <t>Saldo capital luego</t>
        </is>
      </c>
    </row>
    <row r="5">
      <c r="A5" t="inlineStr">
        <is>
          <t>Saldo inicial 01/07/2024</t>
        </is>
      </c>
      <c r="E5" s="107" t="n">
        <v>1000000</v>
      </c>
    </row>
    <row r="6">
      <c r="A6" t="inlineStr">
        <is>
          <t>31/12/2024</t>
        </is>
      </c>
      <c r="B6" s="107" t="n">
        <v>250000</v>
      </c>
      <c r="C6" s="107">
        <f>E5*0.24/2</f>
        <v/>
      </c>
      <c r="D6" s="107">
        <f>B6+C6</f>
        <v/>
      </c>
      <c r="E6" s="107">
        <f>E5-B6</f>
        <v/>
      </c>
    </row>
    <row r="7">
      <c r="A7" t="inlineStr">
        <is>
          <t>30/06/2025</t>
        </is>
      </c>
      <c r="B7" s="107" t="n">
        <v>250000</v>
      </c>
      <c r="C7" s="107">
        <f>E6*0.24/2</f>
        <v/>
      </c>
      <c r="D7" s="107">
        <f>B7+C7</f>
        <v/>
      </c>
      <c r="E7" s="107">
        <f>E6-B7</f>
        <v/>
      </c>
    </row>
    <row r="8">
      <c r="A8" t="inlineStr">
        <is>
          <t>31/12/2025</t>
        </is>
      </c>
      <c r="B8" s="107" t="n">
        <v>250000</v>
      </c>
      <c r="C8" s="107">
        <f>E7*0.24/2</f>
        <v/>
      </c>
      <c r="D8" s="107">
        <f>B8+C8</f>
        <v/>
      </c>
      <c r="E8" s="107">
        <f>E7-B8</f>
        <v/>
      </c>
    </row>
    <row r="9">
      <c r="A9" t="inlineStr">
        <is>
          <t>30/06/2026</t>
        </is>
      </c>
      <c r="B9" s="107" t="n">
        <v>250000</v>
      </c>
      <c r="C9" s="107">
        <f>E8*0.24/2</f>
        <v/>
      </c>
      <c r="D9" s="107">
        <f>B9+C9</f>
        <v/>
      </c>
      <c r="E9" s="107">
        <f>E8-B9</f>
        <v/>
      </c>
    </row>
    <row r="10">
      <c r="A10" s="189" t="inlineStr">
        <is>
          <t>Total</t>
        </is>
      </c>
      <c r="B10" s="188">
        <f>SUM(B6:B9)</f>
        <v/>
      </c>
      <c r="C10" s="188">
        <f>SUM(C6:C9)</f>
        <v/>
      </c>
      <c r="D10" s="188">
        <f>SUM(D6:D9)</f>
        <v/>
      </c>
    </row>
    <row r="11"/>
    <row r="12">
      <c r="A12" s="189" t="inlineStr">
        <is>
          <t>Saldos (metodo bruto: Int. a pagar = intereses nominales futuros; Int. perdidos a vencer = mismo importe, regularizadora)</t>
        </is>
      </c>
    </row>
    <row r="13">
      <c r="B13" s="189" t="inlineStr">
        <is>
          <t>31/12/2024</t>
        </is>
      </c>
      <c r="C13" s="189" t="inlineStr">
        <is>
          <t>31/12/2025</t>
        </is>
      </c>
    </row>
    <row r="14">
      <c r="A14" t="inlineStr">
        <is>
          <t>Prestamos a pagar (capital exigible en 12 meses)</t>
        </is>
      </c>
      <c r="B14" s="107">
        <f>B7+B8</f>
        <v/>
      </c>
      <c r="C14" s="107">
        <f>B9</f>
        <v/>
      </c>
    </row>
    <row r="15">
      <c r="A15" t="inlineStr">
        <is>
          <t>Prestamo a largo plazo</t>
        </is>
      </c>
      <c r="B15" s="107">
        <f>B9</f>
        <v/>
      </c>
      <c r="C15" s="107" t="n">
        <v>300000</v>
      </c>
      <c r="F15" t="inlineStr">
        <is>
          <t>2024: cuota 30/06/26 (dato ESF=250.000). 2025: Prestamo 2 sin interes, vto 30/06/27</t>
        </is>
      </c>
    </row>
    <row r="16">
      <c r="A16" t="inlineStr">
        <is>
          <t>Intereses a pagar (nominal, cuotas futuras)</t>
        </is>
      </c>
      <c r="B16" s="107">
        <f>C7+C8+C9</f>
        <v/>
      </c>
      <c r="C16" s="107">
        <f>C9</f>
        <v/>
      </c>
    </row>
    <row r="17">
      <c r="A17" t="inlineStr">
        <is>
          <t>Intereses perdidos a vencer (regularizadora)</t>
        </is>
      </c>
      <c r="B17" s="107">
        <f>-B16</f>
        <v/>
      </c>
      <c r="C17" s="107">
        <f>-C16</f>
        <v/>
      </c>
    </row>
    <row r="18"/>
    <row r="19">
      <c r="A19" s="189" t="inlineStr">
        <is>
          <t>Intereses perdidos 2025 (devengados)</t>
        </is>
      </c>
      <c r="B19" s="213">
        <f>C7+C8</f>
        <v/>
      </c>
      <c r="F19" t="inlineStr">
        <is>
          <t>01-06/2025: 750.000 x 12% + 07-12/2025: 500.000 x 12%</t>
        </is>
      </c>
    </row>
    <row r="20">
      <c r="A20" t="inlineStr">
        <is>
          <t>Intereses pagados 2025 (cuotas 30/06 y 31/12)</t>
        </is>
      </c>
      <c r="B20" s="107">
        <f>C7+C8</f>
        <v/>
      </c>
    </row>
    <row r="21"/>
    <row r="22">
      <c r="A22" t="inlineStr">
        <is>
          <t>Prestamo 2: $300.000 al 30/06/2025, sin interes, cuota unica 30/06/2027 (financia 50% de la maquina)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9000"/>
    <outlinePr summaryBelow="1" summaryRight="1"/>
    <pageSetUpPr/>
  </sheetPr>
  <dimension ref="A1:G24"/>
  <sheetViews>
    <sheetView showGridLines="0" tabSelected="0"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46" customWidth="1" min="7" max="7"/>
  </cols>
  <sheetData>
    <row r="1">
      <c r="A1" s="214" t="inlineStr">
        <is>
          <t>e) Propiedad, planta y equipo</t>
        </is>
      </c>
    </row>
    <row r="2"/>
    <row r="3"/>
    <row r="4">
      <c r="A4" s="215" t="inlineStr">
        <is>
          <t>Bien</t>
        </is>
      </c>
      <c r="B4" s="215" t="inlineStr">
        <is>
          <t>Costo</t>
        </is>
      </c>
      <c r="C4" s="215" t="inlineStr">
        <is>
          <t>Vida util (a)</t>
        </is>
      </c>
      <c r="D4" s="215" t="inlineStr">
        <is>
          <t>Amort. anual</t>
        </is>
      </c>
      <c r="E4" s="215" t="inlineStr">
        <is>
          <t>Amort. ac. 01/01/25</t>
        </is>
      </c>
      <c r="F4" s="215" t="inlineStr">
        <is>
          <t>Amort. 2025</t>
        </is>
      </c>
      <c r="G4" s="215" t="inlineStr">
        <is>
          <t>Observaciones</t>
        </is>
      </c>
    </row>
    <row r="5">
      <c r="A5" t="inlineStr">
        <is>
          <t>Inmueble - edificio (80%)</t>
        </is>
      </c>
      <c r="B5" s="107">
        <f>2000000*0.8</f>
        <v/>
      </c>
      <c r="C5" s="107" t="n">
        <v>50</v>
      </c>
      <c r="D5" s="107">
        <f>B5/C5</f>
        <v/>
      </c>
      <c r="E5" s="107">
        <f>D5*6</f>
        <v/>
      </c>
      <c r="F5" s="107">
        <f>D5</f>
        <v/>
      </c>
      <c r="G5" t="inlineStr">
        <is>
          <t>Aporte inicial 2.000.000 (01/01/2019). Amortiza desde incorporacion: 6 anios a 01/01/25</t>
        </is>
      </c>
    </row>
    <row r="6">
      <c r="A6" t="inlineStr">
        <is>
          <t>Inmueble - terreno (20%, no se amortiza)</t>
        </is>
      </c>
      <c r="B6" s="107">
        <f>2000000*0.2</f>
        <v/>
      </c>
      <c r="E6" s="107" t="n">
        <v>0</v>
      </c>
      <c r="F6" s="107" t="n">
        <v>0</v>
      </c>
    </row>
    <row r="7">
      <c r="A7" t="inlineStr">
        <is>
          <t>Equipos de computacion</t>
        </is>
      </c>
      <c r="B7" s="107" t="n">
        <v>100000</v>
      </c>
      <c r="C7" s="107" t="n">
        <v>5</v>
      </c>
      <c r="D7" s="107">
        <f>B7/C7</f>
        <v/>
      </c>
      <c r="E7" s="107">
        <f>D7*6/12</f>
        <v/>
      </c>
      <c r="F7" s="107">
        <f>D7*9/12</f>
        <v/>
      </c>
      <c r="G7" t="inlineStr">
        <is>
          <t>Comprados 30/06/24 (6 meses en 2024). Vendidos 30/09/25 (9 meses en 2025)</t>
        </is>
      </c>
    </row>
    <row r="8">
      <c r="A8" t="inlineStr">
        <is>
          <t>Maquina (30/06/2025)</t>
        </is>
      </c>
      <c r="B8" s="107">
        <f>300000*2</f>
        <v/>
      </c>
      <c r="C8" s="107" t="n">
        <v>10</v>
      </c>
      <c r="D8" s="107">
        <f>B8/C8</f>
        <v/>
      </c>
      <c r="E8" s="107" t="n">
        <v>0</v>
      </c>
      <c r="F8" s="107">
        <f>D8*6/12</f>
        <v/>
      </c>
      <c r="G8" t="inlineStr">
        <is>
          <t>Mitad efectivo + mitad prestamo 300.000 =&gt; precio 600.000</t>
        </is>
      </c>
    </row>
    <row r="9">
      <c r="A9" t="inlineStr">
        <is>
          <t>Vehiculo (aporte en especie 31/12/2025)</t>
        </is>
      </c>
      <c r="B9" s="107" t="n">
        <v>200000</v>
      </c>
      <c r="E9" s="107" t="n">
        <v>0</v>
      </c>
      <c r="F9" s="107" t="n">
        <v>0</v>
      </c>
      <c r="G9" t="inlineStr">
        <is>
          <t>Incorporado el ultimo dia: sin amortizacion en 2025</t>
        </is>
      </c>
    </row>
    <row r="10"/>
    <row r="11">
      <c r="A11" s="189" t="inlineStr">
        <is>
          <t>Amortizaciones 2025 (Estado de Resultados)</t>
        </is>
      </c>
      <c r="F11" s="216">
        <f>F5+F7+F8+F9</f>
        <v/>
      </c>
    </row>
    <row r="12"/>
    <row r="13">
      <c r="A13" s="189" t="inlineStr">
        <is>
          <t>Baja de equipos de computacion 30/09/2025</t>
        </is>
      </c>
    </row>
    <row r="14">
      <c r="A14" t="inlineStr">
        <is>
          <t>Costo</t>
        </is>
      </c>
      <c r="B14" s="107">
        <f>B7</f>
        <v/>
      </c>
    </row>
    <row r="15">
      <c r="A15" t="inlineStr">
        <is>
          <t>Amortizacion acumulada a la baja</t>
        </is>
      </c>
      <c r="B15" s="107">
        <f>E7+F7</f>
        <v/>
      </c>
    </row>
    <row r="16">
      <c r="A16" t="inlineStr">
        <is>
          <t>Valor neto contable</t>
        </is>
      </c>
      <c r="B16" s="107">
        <f>B14-B15</f>
        <v/>
      </c>
    </row>
    <row r="17">
      <c r="A17" t="inlineStr">
        <is>
          <t>Precio de venta (3 cuotas de 50.000 cobradas)</t>
        </is>
      </c>
      <c r="B17" s="107" t="n">
        <v>150000</v>
      </c>
    </row>
    <row r="18">
      <c r="A18" s="189" t="inlineStr">
        <is>
          <t>Resultado por venta de PPE (ganancia)</t>
        </is>
      </c>
      <c r="B18" s="216">
        <f>B17-B16</f>
        <v/>
      </c>
    </row>
    <row r="19"/>
    <row r="20">
      <c r="A20" s="189" t="inlineStr">
        <is>
          <t>Saldos</t>
        </is>
      </c>
      <c r="B20" s="189" t="inlineStr">
        <is>
          <t>31/12/2024</t>
        </is>
      </c>
      <c r="C20" s="189" t="inlineStr">
        <is>
          <t>31/12/2025</t>
        </is>
      </c>
    </row>
    <row r="21">
      <c r="A21" t="inlineStr">
        <is>
          <t>PPE (costo)</t>
        </is>
      </c>
      <c r="B21" s="107">
        <f>B5+B6+B7</f>
        <v/>
      </c>
      <c r="C21" s="107">
        <f>B5+B6+B8+B9</f>
        <v/>
      </c>
    </row>
    <row r="22">
      <c r="A22" t="inlineStr">
        <is>
          <t>Amortizaciones acumuladas</t>
        </is>
      </c>
      <c r="B22" s="107">
        <f>-(E5+E7)</f>
        <v/>
      </c>
      <c r="C22" s="107">
        <f>-(E5+F5+F8)</f>
        <v/>
      </c>
    </row>
    <row r="23"/>
    <row r="24">
      <c r="A24" t="inlineStr">
        <is>
          <t>Sensibilidad: si el inmueble se amortizara desde 2015 (10 anios) la amort. acumulada sube 128.000; el resultado 2025 no cambia.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C00060"/>
    <outlinePr summaryBelow="1" summaryRight="1"/>
    <pageSetUpPr/>
  </sheetPr>
  <dimension ref="A1:C14"/>
  <sheetViews>
    <sheetView showGridLines="0" tabSelected="0"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40" customWidth="1" min="3" max="3"/>
  </cols>
  <sheetData>
    <row r="1">
      <c r="A1" s="217" t="inlineStr">
        <is>
          <t>f) Seguro contra incendio del inmueble</t>
        </is>
      </c>
    </row>
    <row r="2"/>
    <row r="3">
      <c r="A3" t="inlineStr">
        <is>
          <t>Prima total</t>
        </is>
      </c>
      <c r="B3" s="107" t="n">
        <v>48000</v>
      </c>
    </row>
    <row r="4">
      <c r="A4" t="inlineStr">
        <is>
          <t>Pagado al contratar</t>
        </is>
      </c>
      <c r="B4" s="107" t="n">
        <v>18000</v>
      </c>
    </row>
    <row r="5">
      <c r="A5" t="inlineStr">
        <is>
          <t>Saldo impago 31/12/2025 = Seguros a pagar</t>
        </is>
      </c>
      <c r="B5" s="218">
        <f>B3-B4</f>
        <v/>
      </c>
    </row>
    <row r="6">
      <c r="A6" t="inlineStr">
        <is>
          <t>Vigencia (meses) / meses transcurridos al 31/12/25</t>
        </is>
      </c>
      <c r="B6" s="107" t="n">
        <v>12</v>
      </c>
      <c r="C6" s="107" t="n">
        <v>5</v>
      </c>
    </row>
    <row r="7"/>
    <row r="8">
      <c r="A8" s="189" t="inlineStr">
        <is>
          <t>Seguros (gasto 2025) = 48.000 x 5/12</t>
        </is>
      </c>
      <c r="B8" s="218">
        <f>B3*C6/B6</f>
        <v/>
      </c>
    </row>
    <row r="9">
      <c r="A9" t="inlineStr">
        <is>
          <t>Diferido a 31/12 (7 meses)</t>
        </is>
      </c>
      <c r="B9" s="107">
        <f>B3-B8</f>
        <v/>
      </c>
    </row>
    <row r="10">
      <c r="A10" s="189" t="inlineStr">
        <is>
          <t xml:space="preserve">  Parte pagada (18.000): Seguros pagos x adelantado</t>
        </is>
      </c>
      <c r="B10" s="218">
        <f>ROUND(B4*(1-C6/B6),0)</f>
        <v/>
      </c>
    </row>
    <row r="11">
      <c r="A11" s="189" t="inlineStr">
        <is>
          <t xml:space="preserve">  Parte financiada (30.000): Seguros perdidos a vencer (regularizadora del pasivo)</t>
        </is>
      </c>
      <c r="B11" s="218">
        <f>-ROUND(B5*(1-C6/B6),0)</f>
        <v/>
      </c>
    </row>
    <row r="12">
      <c r="A12" t="inlineStr">
        <is>
          <t>Control: gasto + diferido = prima</t>
        </is>
      </c>
      <c r="B12" s="107">
        <f>B8+B10-B11-B3</f>
        <v/>
      </c>
    </row>
    <row r="13"/>
    <row r="14">
      <c r="A14" t="inlineStr">
        <is>
          <t>Criterio: la prima se reparte en proporcion a lo pagado y a lo financiado (mismo tratamiento que los intereses a vencer).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B8A7A"/>
    <outlinePr summaryBelow="1" summaryRight="1"/>
    <pageSetUpPr/>
  </sheetPr>
  <dimension ref="A1:C26"/>
  <sheetViews>
    <sheetView showGridLines="0" tabSelected="0" workbookViewId="0">
      <selection activeCell="A1" sqref="A1"/>
    </sheetView>
  </sheetViews>
  <sheetFormatPr baseColWidth="8" defaultRowHeight="15"/>
  <cols>
    <col width="64" customWidth="1" min="1" max="1"/>
    <col width="16" customWidth="1" min="2" max="2"/>
    <col width="44" customWidth="1" min="3" max="3"/>
  </cols>
  <sheetData>
    <row r="1">
      <c r="A1" s="219" t="inlineStr">
        <is>
          <t>g) Cuentas patrimoniales y distribucion de resultados</t>
        </is>
      </c>
    </row>
    <row r="2"/>
    <row r="3">
      <c r="A3" t="inlineStr">
        <is>
          <t>Resultado 2024 a distribuir (Asamblea 30/06/2025)</t>
        </is>
      </c>
      <c r="B3" s="107" t="n">
        <v>800000</v>
      </c>
    </row>
    <row r="4">
      <c r="A4" s="189" t="inlineStr">
        <is>
          <t>Reserva legal = 5% de las ganancias liquidas del ejercicio (art. 93 Ley 16.060)</t>
        </is>
      </c>
      <c r="B4" s="190">
        <f>B3*0.05</f>
        <v/>
      </c>
      <c r="C4" t="inlineStr">
        <is>
          <t>Tope 20% del capital: 15.000+40.000 &lt;&lt; 520.000</t>
        </is>
      </c>
    </row>
    <row r="5">
      <c r="A5" t="inlineStr">
        <is>
          <t>Dividendos en acciones (a capitalizar)</t>
        </is>
      </c>
      <c r="B5" s="107" t="n">
        <v>400000</v>
      </c>
    </row>
    <row r="6">
      <c r="A6" t="inlineStr">
        <is>
          <t>Dividendos en efectivo (pagados en 2025)</t>
        </is>
      </c>
      <c r="B6" s="107" t="n">
        <v>200000</v>
      </c>
    </row>
    <row r="7">
      <c r="A7" s="189" t="inlineStr">
        <is>
          <t>Remanente que queda en Resultados acumulados</t>
        </is>
      </c>
      <c r="B7" s="190">
        <f>B3-B4-B5-B6</f>
        <v/>
      </c>
    </row>
    <row r="8"/>
    <row r="9">
      <c r="A9" s="189" t="inlineStr">
        <is>
          <t>Capital (integrado) y aportes a capitalizar</t>
        </is>
      </c>
    </row>
    <row r="10">
      <c r="A10" t="inlineStr">
        <is>
          <t>Capital integrado 31/12/2024</t>
        </is>
      </c>
      <c r="B10" s="107" t="n">
        <v>2600000</v>
      </c>
    </row>
    <row r="11">
      <c r="A11" t="inlineStr">
        <is>
          <t>Aportes a capitalizar 31/12/2024</t>
        </is>
      </c>
      <c r="B11" s="107" t="n">
        <v>400000</v>
      </c>
    </row>
    <row r="12">
      <c r="A12" t="inlineStr">
        <is>
          <t>Aporte en efectivo 31/10/2025</t>
        </is>
      </c>
      <c r="B12" s="107" t="n">
        <v>800000</v>
      </c>
      <c r="C12" t="inlineStr">
        <is>
          <t>Completa la ampliacion 2.6M-&gt;3.8M: 400.000 + 800.000 = 1.200.000</t>
        </is>
      </c>
    </row>
    <row r="13">
      <c r="A13" s="189" t="inlineStr">
        <is>
          <t>Capital integrado 31/12/2025 (= capital contractual)</t>
        </is>
      </c>
      <c r="B13" s="190">
        <f>B10+B11+B12</f>
        <v/>
      </c>
    </row>
    <row r="14">
      <c r="A14" s="189" t="inlineStr">
        <is>
          <t>Aportes a capitalizar 31/12/2025 = div. en acciones 400.000 + vehiculo 200.000</t>
        </is>
      </c>
      <c r="B14" s="190">
        <f>B5+200000</f>
        <v/>
      </c>
    </row>
    <row r="15"/>
    <row r="16">
      <c r="A16" s="189" t="inlineStr">
        <is>
          <t>Pedido 2 b) - ampliacion minima del capital contractual</t>
        </is>
      </c>
    </row>
    <row r="17">
      <c r="A17" t="inlineStr">
        <is>
          <t>Capital contractual vigente</t>
        </is>
      </c>
      <c r="B17" s="107" t="n">
        <v>3800000</v>
      </c>
    </row>
    <row r="18">
      <c r="A18" t="inlineStr">
        <is>
          <t>Capital integrado + aportes a capitalizar</t>
        </is>
      </c>
      <c r="B18" s="107">
        <f>B13+B14</f>
        <v/>
      </c>
    </row>
    <row r="19">
      <c r="A19" s="189" t="inlineStr">
        <is>
          <t>Ampliacion minima requerida</t>
        </is>
      </c>
      <c r="B19" s="190">
        <f>B18-B17</f>
        <v/>
      </c>
    </row>
    <row r="20"/>
    <row r="21">
      <c r="A21" s="189" t="inlineStr">
        <is>
          <t>Pedido 2 a) - hipotesis alternativa (distribuir la totalidad de los resultados)</t>
        </is>
      </c>
    </row>
    <row r="22">
      <c r="A22" t="inlineStr">
        <is>
          <t>Resultados a distribuir</t>
        </is>
      </c>
      <c r="B22" s="107">
        <f>B3</f>
        <v/>
      </c>
    </row>
    <row r="23">
      <c r="A23" t="inlineStr">
        <is>
          <t>Reserva legal 5%</t>
        </is>
      </c>
      <c r="B23" s="107">
        <f>B22*0.05</f>
        <v/>
      </c>
    </row>
    <row r="24">
      <c r="A24" t="inlineStr">
        <is>
          <t>Remanente</t>
        </is>
      </c>
      <c r="B24" s="107">
        <f>B22-B23</f>
        <v/>
      </c>
    </row>
    <row r="25">
      <c r="A25" t="inlineStr">
        <is>
          <t xml:space="preserve">  50% dividendos en acciones</t>
        </is>
      </c>
      <c r="B25" s="107">
        <f>B24*0.5</f>
        <v/>
      </c>
    </row>
    <row r="26">
      <c r="A26" t="inlineStr">
        <is>
          <t xml:space="preserve">  50% dividendos en efectivo</t>
        </is>
      </c>
      <c r="B26" s="107">
        <f>B24*0.5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2006-09-12T12:46:00Z</dcterms:created>
  <dcterms:modified xmlns:dcterms="http://purl.org/dc/terms/" xmlns:xsi="http://www.w3.org/2001/XMLSchema-instance" xsi:type="dcterms:W3CDTF">2026-10-01T12:43:57Z</dcterms:modified>
  <cp:lastModifiedBy>Luis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3FEEEFB3CDED44EABE52DD08BDDBF832_13</vt:lpwstr>
  </property>
  <property name="KSOProductBuildVer" fmtid="{D5CDD505-2E9C-101B-9397-08002B2CF9AE}" pid="3">
    <vt:lpwstr xmlns:vt="http://schemas.openxmlformats.org/officeDocument/2006/docPropsVTypes">2058-12.1.0.28485</vt:lpwstr>
  </property>
  <property name="CalculationRule" fmtid="{D5CDD505-2E9C-101B-9397-08002B2CF9AE}" pid="4">
    <vt:i4 xmlns:vt="http://schemas.openxmlformats.org/officeDocument/2006/docPropsVTypes">0</vt:i4>
  </property>
</Properties>
</file>